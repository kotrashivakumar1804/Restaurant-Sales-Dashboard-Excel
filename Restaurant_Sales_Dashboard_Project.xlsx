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shiva\Downloads\"/>
    </mc:Choice>
  </mc:AlternateContent>
  <xr:revisionPtr revIDLastSave="0" documentId="13_ncr:1_{FCDF93ED-3B15-4B1E-ACE3-9F7C550E41A8}" xr6:coauthVersionLast="47" xr6:coauthVersionMax="47" xr10:uidLastSave="{00000000-0000-0000-0000-000000000000}"/>
  <bookViews>
    <workbookView xWindow="-120" yWindow="-120" windowWidth="20730" windowHeight="11040" firstSheet="1" activeTab="7" xr2:uid="{00000000-000D-0000-FFFF-FFFF00000000}"/>
  </bookViews>
  <sheets>
    <sheet name="Order_Details" sheetId="6" r:id="rId1"/>
    <sheet name="Branches" sheetId="1" r:id="rId2"/>
    <sheet name="Orders" sheetId="5" r:id="rId3"/>
    <sheet name="Waiters" sheetId="2" r:id="rId4"/>
    <sheet name="Payments" sheetId="3" r:id="rId5"/>
    <sheet name="Menu_Items" sheetId="4" r:id="rId6"/>
    <sheet name="Povite table" sheetId="7" r:id="rId7"/>
    <sheet name="Dashboard" sheetId="10" r:id="rId8"/>
  </sheets>
  <definedNames>
    <definedName name="_xlcn.WorksheetConnection_Restaurant_Sales_Dashboard_Dataset.xlsxTable1" hidden="1">Table1[]</definedName>
    <definedName name="_xlcn.WorksheetConnection_Restaurant_Sales_Dashboard_Dataset.xlsxTable2" hidden="1">Table2[]</definedName>
    <definedName name="_xlcn.WorksheetConnection_Restaurant_Sales_Dashboard_Dataset.xlsxTable3" hidden="1">Table3[]</definedName>
    <definedName name="_xlcn.WorksheetConnection_Restaurant_Sales_Dashboard_Dataset.xlsxTable4" hidden="1">Table4[]</definedName>
    <definedName name="_xlcn.WorksheetConnection_Restaurant_Sales_Dashboard_Dataset.xlsxTable5" hidden="1">Table5[]</definedName>
    <definedName name="_xlcn.WorksheetConnection_Restaurant_Sales_Dashboard_Dataset.xlsxTable6" hidden="1">Table6[]</definedName>
    <definedName name="Slicer_Branch_Name">#N/A</definedName>
    <definedName name="Slicer_Category">#N/A</definedName>
    <definedName name="Slicer_Dining_Type">#N/A</definedName>
  </definedNames>
  <calcPr calcId="191029"/>
  <pivotCaches>
    <pivotCache cacheId="133" r:id="rId9"/>
    <pivotCache cacheId="136" r:id="rId10"/>
    <pivotCache cacheId="139" r:id="rId11"/>
    <pivotCache cacheId="142" r:id="rId12"/>
    <pivotCache cacheId="145" r:id="rId13"/>
    <pivotCache cacheId="148" r:id="rId14"/>
    <pivotCache cacheId="151" r:id="rId15"/>
    <pivotCache cacheId="154" r:id="rId16"/>
    <pivotCache cacheId="157" r:id="rId17"/>
    <pivotCache cacheId="160" r:id="rId18"/>
  </pivotCaches>
  <extLst>
    <ext xmlns:x14="http://schemas.microsoft.com/office/spreadsheetml/2009/9/main" uri="{876F7934-8845-4945-9796-88D515C7AA90}">
      <x14:pivotCaches>
        <pivotCache cacheId="10"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6" name="Table6" connection="WorksheetConnection_Restaurant_Sales_Dashboard_Dataset.xlsx!Table6"/>
          <x15:modelTable id="Table5" name="Table5" connection="WorksheetConnection_Restaurant_Sales_Dashboard_Dataset.xlsx!Table5"/>
          <x15:modelTable id="Table4" name="Table4" connection="WorksheetConnection_Restaurant_Sales_Dashboard_Dataset.xlsx!Table4"/>
          <x15:modelTable id="Table3" name="Table3" connection="WorksheetConnection_Restaurant_Sales_Dashboard_Dataset.xlsx!Table3"/>
          <x15:modelTable id="Table2" name="Table2" connection="WorksheetConnection_Restaurant_Sales_Dashboard_Dataset.xlsx!Table2"/>
          <x15:modelTable id="Table1" name="Table1" connection="WorksheetConnection_Restaurant_Sales_Dashboard_Dataset.xlsx!Table1"/>
        </x15:modelTables>
        <x15:modelRelationships>
          <x15:modelRelationship fromTable="Table1" fromColumn="Order_ID" toTable="Table3" toColumn="Order_ID"/>
          <x15:modelRelationship fromTable="Table1" fromColumn="Item_ID" toTable="Table6" toColumn="Item_ID"/>
          <x15:modelRelationship fromTable="Table3" fromColumn="Branch_ID" toTable="Table2" toColumn="Branch_ID"/>
          <x15:modelRelationship fromTable="Table3" fromColumn="Waiter_ID" toTable="Table4" toColumn="Waiter_ID"/>
          <x15:modelRelationship fromTable="Table3" fromColumn="Payment_ID" toTable="Table5" toColumn="Paymen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6" l="1"/>
  <c r="J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10"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113" i="6"/>
  <c r="Q114" i="6"/>
  <c r="Q115" i="6"/>
  <c r="Q116" i="6"/>
  <c r="Q117" i="6"/>
  <c r="Q118" i="6"/>
  <c r="Q119" i="6"/>
  <c r="Q120" i="6"/>
  <c r="Q121" i="6"/>
  <c r="Q122" i="6"/>
  <c r="Q123" i="6"/>
  <c r="Q124" i="6"/>
  <c r="Q125" i="6"/>
  <c r="Q126"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10"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9" i="6"/>
  <c r="O20" i="6"/>
  <c r="O21" i="6"/>
  <c r="O22" i="6"/>
  <c r="O23" i="6"/>
  <c r="O24" i="6"/>
  <c r="O11" i="6"/>
  <c r="O12" i="6"/>
  <c r="O13" i="6"/>
  <c r="O14" i="6"/>
  <c r="O15" i="6"/>
  <c r="O16" i="6"/>
  <c r="O17" i="6"/>
  <c r="O18" i="6"/>
  <c r="O10" i="6"/>
  <c r="N110"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1" i="6"/>
  <c r="N112" i="6"/>
  <c r="N11" i="6"/>
  <c r="N12" i="6"/>
  <c r="N13" i="6"/>
  <c r="N14" i="6"/>
  <c r="N15" i="6"/>
  <c r="N16" i="6"/>
  <c r="N10" i="6"/>
  <c r="K10" i="6"/>
  <c r="L1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E92291-5E70-4CFD-AADA-36EF627BF91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DDA97D8-0A77-4BD2-A7FD-ADB6090EDDE6}" name="WorksheetConnection_Restaurant_Sales_Dashboard_Dataset.xlsx!Table1" type="102" refreshedVersion="8" minRefreshableVersion="5">
    <extLst>
      <ext xmlns:x15="http://schemas.microsoft.com/office/spreadsheetml/2010/11/main" uri="{DE250136-89BD-433C-8126-D09CA5730AF9}">
        <x15:connection id="Table1">
          <x15:rangePr sourceName="_xlcn.WorksheetConnection_Restaurant_Sales_Dashboard_Dataset.xlsxTable1"/>
        </x15:connection>
      </ext>
    </extLst>
  </connection>
  <connection id="3" xr16:uid="{DFB9E27D-F323-447F-8496-3B3DE2217C4C}" name="WorksheetConnection_Restaurant_Sales_Dashboard_Dataset.xlsx!Table2" type="102" refreshedVersion="8" minRefreshableVersion="5">
    <extLst>
      <ext xmlns:x15="http://schemas.microsoft.com/office/spreadsheetml/2010/11/main" uri="{DE250136-89BD-433C-8126-D09CA5730AF9}">
        <x15:connection id="Table2">
          <x15:rangePr sourceName="_xlcn.WorksheetConnection_Restaurant_Sales_Dashboard_Dataset.xlsxTable2"/>
        </x15:connection>
      </ext>
    </extLst>
  </connection>
  <connection id="4" xr16:uid="{F87110A6-7B26-4491-906A-29A010DACE55}" name="WorksheetConnection_Restaurant_Sales_Dashboard_Dataset.xlsx!Table3" type="102" refreshedVersion="8" minRefreshableVersion="5">
    <extLst>
      <ext xmlns:x15="http://schemas.microsoft.com/office/spreadsheetml/2010/11/main" uri="{DE250136-89BD-433C-8126-D09CA5730AF9}">
        <x15:connection id="Table3">
          <x15:rangePr sourceName="_xlcn.WorksheetConnection_Restaurant_Sales_Dashboard_Dataset.xlsxTable3"/>
        </x15:connection>
      </ext>
    </extLst>
  </connection>
  <connection id="5" xr16:uid="{31346B8F-1009-476C-9FE9-F8125B2D7933}" name="WorksheetConnection_Restaurant_Sales_Dashboard_Dataset.xlsx!Table4" type="102" refreshedVersion="8" minRefreshableVersion="5">
    <extLst>
      <ext xmlns:x15="http://schemas.microsoft.com/office/spreadsheetml/2010/11/main" uri="{DE250136-89BD-433C-8126-D09CA5730AF9}">
        <x15:connection id="Table4">
          <x15:rangePr sourceName="_xlcn.WorksheetConnection_Restaurant_Sales_Dashboard_Dataset.xlsxTable4"/>
        </x15:connection>
      </ext>
    </extLst>
  </connection>
  <connection id="6" xr16:uid="{4EF3513F-095E-472D-832B-8B4F11722F8F}" name="WorksheetConnection_Restaurant_Sales_Dashboard_Dataset.xlsx!Table5" type="102" refreshedVersion="8" minRefreshableVersion="5">
    <extLst>
      <ext xmlns:x15="http://schemas.microsoft.com/office/spreadsheetml/2010/11/main" uri="{DE250136-89BD-433C-8126-D09CA5730AF9}">
        <x15:connection id="Table5">
          <x15:rangePr sourceName="_xlcn.WorksheetConnection_Restaurant_Sales_Dashboard_Dataset.xlsxTable5"/>
        </x15:connection>
      </ext>
    </extLst>
  </connection>
  <connection id="7" xr16:uid="{883E2331-DCA6-46E2-98E7-60B11851C024}" name="WorksheetConnection_Restaurant_Sales_Dashboard_Dataset.xlsx!Table6" type="102" refreshedVersion="8" minRefreshableVersion="5">
    <extLst>
      <ext xmlns:x15="http://schemas.microsoft.com/office/spreadsheetml/2010/11/main" uri="{DE250136-89BD-433C-8126-D09CA5730AF9}">
        <x15:connection id="Table6">
          <x15:rangePr sourceName="_xlcn.WorksheetConnection_Restaurant_Sales_Dashboard_Dataset.xlsxTable6"/>
        </x15:connection>
      </ext>
    </extLst>
  </connection>
</connections>
</file>

<file path=xl/sharedStrings.xml><?xml version="1.0" encoding="utf-8"?>
<sst xmlns="http://schemas.openxmlformats.org/spreadsheetml/2006/main" count="1462" uniqueCount="418">
  <si>
    <t>Branch_ID</t>
  </si>
  <si>
    <t>Branch_Name</t>
  </si>
  <si>
    <t>City</t>
  </si>
  <si>
    <t>B01</t>
  </si>
  <si>
    <t>Paradise Restaurant</t>
  </si>
  <si>
    <t>Hyderabad</t>
  </si>
  <si>
    <t>B02</t>
  </si>
  <si>
    <t>Spice Hub</t>
  </si>
  <si>
    <t>Vijayawada</t>
  </si>
  <si>
    <t>B03</t>
  </si>
  <si>
    <t>Food Fiesta</t>
  </si>
  <si>
    <t>Visakhapatnam</t>
  </si>
  <si>
    <t>B04</t>
  </si>
  <si>
    <t>Royal Dine</t>
  </si>
  <si>
    <t>Warangal</t>
  </si>
  <si>
    <t>B05</t>
  </si>
  <si>
    <t>Urban Kitchen</t>
  </si>
  <si>
    <t>Tirupati</t>
  </si>
  <si>
    <t>Waiter_ID</t>
  </si>
  <si>
    <t>Waiter_Name</t>
  </si>
  <si>
    <t>Experience_Years</t>
  </si>
  <si>
    <t>Shift</t>
  </si>
  <si>
    <t>W01</t>
  </si>
  <si>
    <t>Mahesh</t>
  </si>
  <si>
    <t>Morning</t>
  </si>
  <si>
    <t>W02</t>
  </si>
  <si>
    <t>Kiran</t>
  </si>
  <si>
    <t>Evening</t>
  </si>
  <si>
    <t>W03</t>
  </si>
  <si>
    <t>Ramesh</t>
  </si>
  <si>
    <t>W04</t>
  </si>
  <si>
    <t>Praveen</t>
  </si>
  <si>
    <t>W05</t>
  </si>
  <si>
    <t>Suresh</t>
  </si>
  <si>
    <t>W06</t>
  </si>
  <si>
    <t>Naveen</t>
  </si>
  <si>
    <t>W07</t>
  </si>
  <si>
    <t>Ajay</t>
  </si>
  <si>
    <t>W08</t>
  </si>
  <si>
    <t>Vinod</t>
  </si>
  <si>
    <t>W09</t>
  </si>
  <si>
    <t>Arjun</t>
  </si>
  <si>
    <t>W10</t>
  </si>
  <si>
    <t>Teja</t>
  </si>
  <si>
    <t>Payment_ID</t>
  </si>
  <si>
    <t>Payment_Method</t>
  </si>
  <si>
    <t>P01</t>
  </si>
  <si>
    <t>Cash</t>
  </si>
  <si>
    <t>P02</t>
  </si>
  <si>
    <t>UPI</t>
  </si>
  <si>
    <t>P03</t>
  </si>
  <si>
    <t>Credit Card</t>
  </si>
  <si>
    <t>P04</t>
  </si>
  <si>
    <t>Debit Card</t>
  </si>
  <si>
    <t>Item_ID</t>
  </si>
  <si>
    <t>Item_Name</t>
  </si>
  <si>
    <t>Category</t>
  </si>
  <si>
    <t>Price</t>
  </si>
  <si>
    <t>M01</t>
  </si>
  <si>
    <t>Veg Biryani</t>
  </si>
  <si>
    <t>Main Course</t>
  </si>
  <si>
    <t>M02</t>
  </si>
  <si>
    <t>Chicken Biryani</t>
  </si>
  <si>
    <t>M03</t>
  </si>
  <si>
    <t>Paneer Butter Masala</t>
  </si>
  <si>
    <t>M04</t>
  </si>
  <si>
    <t>Pizza</t>
  </si>
  <si>
    <t>Fast Food</t>
  </si>
  <si>
    <t>M05</t>
  </si>
  <si>
    <t>Burger</t>
  </si>
  <si>
    <t>M06</t>
  </si>
  <si>
    <t>French Fries</t>
  </si>
  <si>
    <t>Snacks</t>
  </si>
  <si>
    <t>M07</t>
  </si>
  <si>
    <t>Noodles</t>
  </si>
  <si>
    <t>M08</t>
  </si>
  <si>
    <t>Fried Rice</t>
  </si>
  <si>
    <t>M09</t>
  </si>
  <si>
    <t>Ice Cream</t>
  </si>
  <si>
    <t>Dessert</t>
  </si>
  <si>
    <t>M10</t>
  </si>
  <si>
    <t>Brownie</t>
  </si>
  <si>
    <t>M11</t>
  </si>
  <si>
    <t>Gulab Jamun</t>
  </si>
  <si>
    <t>M12</t>
  </si>
  <si>
    <t>Coke</t>
  </si>
  <si>
    <t>Beverage</t>
  </si>
  <si>
    <t>M13</t>
  </si>
  <si>
    <t>Pepsi</t>
  </si>
  <si>
    <t>M14</t>
  </si>
  <si>
    <t>Coffee</t>
  </si>
  <si>
    <t>M15</t>
  </si>
  <si>
    <t>Tea</t>
  </si>
  <si>
    <t>M16</t>
  </si>
  <si>
    <t>Chicken 65</t>
  </si>
  <si>
    <t>Starter</t>
  </si>
  <si>
    <t>M17</t>
  </si>
  <si>
    <t>Paneer Tikka</t>
  </si>
  <si>
    <t>M18</t>
  </si>
  <si>
    <t>Soup</t>
  </si>
  <si>
    <t>M19</t>
  </si>
  <si>
    <t>Sandwich</t>
  </si>
  <si>
    <t>M20</t>
  </si>
  <si>
    <t>Pasta</t>
  </si>
  <si>
    <t>Order_ID</t>
  </si>
  <si>
    <t>Customer_Name</t>
  </si>
  <si>
    <t>Order_Date</t>
  </si>
  <si>
    <t>Total_Amount</t>
  </si>
  <si>
    <t>Dining_Type</t>
  </si>
  <si>
    <t>Ravi</t>
  </si>
  <si>
    <t>Dine-In</t>
  </si>
  <si>
    <t>Sneha</t>
  </si>
  <si>
    <t>Takeaway</t>
  </si>
  <si>
    <t>Delivery</t>
  </si>
  <si>
    <t>Priya</t>
  </si>
  <si>
    <t>Karthik</t>
  </si>
  <si>
    <t>Anusha</t>
  </si>
  <si>
    <t>Rohit</t>
  </si>
  <si>
    <t>Pooja</t>
  </si>
  <si>
    <t>Harsha</t>
  </si>
  <si>
    <t>Deepika</t>
  </si>
  <si>
    <t>Sandeep</t>
  </si>
  <si>
    <t>Keerthi</t>
  </si>
  <si>
    <t>Sai</t>
  </si>
  <si>
    <t>Vamshi</t>
  </si>
  <si>
    <t>Akhil</t>
  </si>
  <si>
    <t>Divya</t>
  </si>
  <si>
    <t>Nikhil</t>
  </si>
  <si>
    <t>Bhavana</t>
  </si>
  <si>
    <t>Chaitanya</t>
  </si>
  <si>
    <t>Detail_ID</t>
  </si>
  <si>
    <t>Quantity</t>
  </si>
  <si>
    <t>Sales_Amount</t>
  </si>
  <si>
    <t>Month</t>
  </si>
  <si>
    <t>Year</t>
  </si>
  <si>
    <t>D001</t>
  </si>
  <si>
    <t>Jan</t>
  </si>
  <si>
    <t>D002</t>
  </si>
  <si>
    <t>D003</t>
  </si>
  <si>
    <t>D004</t>
  </si>
  <si>
    <t>D005</t>
  </si>
  <si>
    <t>D006</t>
  </si>
  <si>
    <t>D007</t>
  </si>
  <si>
    <t>D008</t>
  </si>
  <si>
    <t>D009</t>
  </si>
  <si>
    <t>D010</t>
  </si>
  <si>
    <t>D011</t>
  </si>
  <si>
    <t>D012</t>
  </si>
  <si>
    <t>D013</t>
  </si>
  <si>
    <t>D014</t>
  </si>
  <si>
    <t>D015</t>
  </si>
  <si>
    <t>D016</t>
  </si>
  <si>
    <t>D017</t>
  </si>
  <si>
    <t>D018</t>
  </si>
  <si>
    <t>D019</t>
  </si>
  <si>
    <t>D020</t>
  </si>
  <si>
    <t>D021</t>
  </si>
  <si>
    <t>D022</t>
  </si>
  <si>
    <t>D023</t>
  </si>
  <si>
    <t>D024</t>
  </si>
  <si>
    <t>D025</t>
  </si>
  <si>
    <t>D026</t>
  </si>
  <si>
    <t>D027</t>
  </si>
  <si>
    <t>D028</t>
  </si>
  <si>
    <t>D029</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</si>
  <si>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</si>
  <si>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</si>
  <si>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</si>
  <si>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</si>
  <si>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</si>
  <si>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</si>
  <si>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</si>
  <si>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</si>
  <si>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</si>
  <si>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</si>
  <si>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</si>
  <si>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</si>
  <si>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</si>
  <si>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</si>
  <si>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</si>
  <si>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</si>
  <si>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</si>
  <si>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</si>
  <si>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</si>
  <si>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</si>
  <si>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</si>
  <si>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</si>
  <si>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D052</t>
  </si>
  <si>
    <t>D053</t>
  </si>
  <si>
    <t>D054</t>
  </si>
  <si>
    <t>D055</t>
  </si>
  <si>
    <t>D056</t>
  </si>
  <si>
    <t>D057</t>
  </si>
  <si>
    <t>D058</t>
  </si>
  <si>
    <t>D059</t>
  </si>
  <si>
    <t>D060</t>
  </si>
  <si>
    <t>D061</t>
  </si>
  <si>
    <t>D062</t>
  </si>
  <si>
    <t>D063</t>
  </si>
  <si>
    <t>D064</t>
  </si>
  <si>
    <t>D065</t>
  </si>
  <si>
    <t>D066</t>
  </si>
  <si>
    <t>D067</t>
  </si>
  <si>
    <t>D068</t>
  </si>
  <si>
    <t>D069</t>
  </si>
  <si>
    <t>D070</t>
  </si>
  <si>
    <t>D071</t>
  </si>
  <si>
    <t>D072</t>
  </si>
  <si>
    <t>D073</t>
  </si>
  <si>
    <t>D074</t>
  </si>
  <si>
    <t>D075</t>
  </si>
  <si>
    <t>D076</t>
  </si>
  <si>
    <t>D077</t>
  </si>
  <si>
    <t>D078</t>
  </si>
  <si>
    <t>D079</t>
  </si>
  <si>
    <t>D080</t>
  </si>
  <si>
    <t>D081</t>
  </si>
  <si>
    <t>D082</t>
  </si>
  <si>
    <t>D083</t>
  </si>
  <si>
    <t>D084</t>
  </si>
  <si>
    <t>D085</t>
  </si>
  <si>
    <t>D086</t>
  </si>
  <si>
    <t>D087</t>
  </si>
  <si>
    <t>D088</t>
  </si>
  <si>
    <t>D089</t>
  </si>
  <si>
    <t>D090</t>
  </si>
  <si>
    <t>D091</t>
  </si>
  <si>
    <t>D092</t>
  </si>
  <si>
    <t>D093</t>
  </si>
  <si>
    <t>D094</t>
  </si>
  <si>
    <t>D095</t>
  </si>
  <si>
    <t>D096</t>
  </si>
  <si>
    <t>D097</t>
  </si>
  <si>
    <t>D098</t>
  </si>
  <si>
    <t>D099</t>
  </si>
  <si>
    <t>D100</t>
  </si>
  <si>
    <t>D101</t>
  </si>
  <si>
    <t>D102</t>
  </si>
  <si>
    <t>D103</t>
  </si>
  <si>
    <t>D104</t>
  </si>
  <si>
    <t>D105</t>
  </si>
  <si>
    <t>D106</t>
  </si>
  <si>
    <t>D107</t>
  </si>
  <si>
    <t>D108</t>
  </si>
  <si>
    <t>D109</t>
  </si>
  <si>
    <t>D110</t>
  </si>
  <si>
    <t>D111</t>
  </si>
  <si>
    <t>D112</t>
  </si>
  <si>
    <t>D113</t>
  </si>
  <si>
    <t>D114</t>
  </si>
  <si>
    <t>D115</t>
  </si>
  <si>
    <t>D116</t>
  </si>
  <si>
    <t>D117</t>
  </si>
  <si>
    <t>D118</t>
  </si>
  <si>
    <t>D119</t>
  </si>
  <si>
    <t>D120</t>
  </si>
  <si>
    <t>D121</t>
  </si>
  <si>
    <t>D122</t>
  </si>
  <si>
    <t>D123</t>
  </si>
  <si>
    <t>D124</t>
  </si>
  <si>
    <t>D125</t>
  </si>
  <si>
    <t>D126</t>
  </si>
  <si>
    <t>D127</t>
  </si>
  <si>
    <t>D128</t>
  </si>
  <si>
    <t>D129</t>
  </si>
  <si>
    <t>D130</t>
  </si>
  <si>
    <t>D131</t>
  </si>
  <si>
    <t>D132</t>
  </si>
  <si>
    <t>D133</t>
  </si>
  <si>
    <t>D134</t>
  </si>
  <si>
    <t>D135</t>
  </si>
  <si>
    <t>D136</t>
  </si>
  <si>
    <t>D137</t>
  </si>
  <si>
    <t>D138</t>
  </si>
  <si>
    <t>D139</t>
  </si>
  <si>
    <t>D140</t>
  </si>
  <si>
    <t>D141</t>
  </si>
  <si>
    <t>D142</t>
  </si>
  <si>
    <t>D143</t>
  </si>
  <si>
    <t>D144</t>
  </si>
  <si>
    <t>D145</t>
  </si>
  <si>
    <t>D146</t>
  </si>
  <si>
    <t>D147</t>
  </si>
  <si>
    <t>D148</t>
  </si>
  <si>
    <t>D149</t>
  </si>
  <si>
    <t>D150</t>
  </si>
  <si>
    <t>D151</t>
  </si>
  <si>
    <t>D152</t>
  </si>
  <si>
    <t>D153</t>
  </si>
  <si>
    <t>D154</t>
  </si>
  <si>
    <t>D155</t>
  </si>
  <si>
    <t>D156</t>
  </si>
  <si>
    <t>D157</t>
  </si>
  <si>
    <t>D158</t>
  </si>
  <si>
    <t>D159</t>
  </si>
  <si>
    <t>D160</t>
  </si>
  <si>
    <t>D161</t>
  </si>
  <si>
    <t>D162</t>
  </si>
  <si>
    <t>D163</t>
  </si>
  <si>
    <t>D164</t>
  </si>
  <si>
    <t>D165</t>
  </si>
  <si>
    <t>D166</t>
  </si>
  <si>
    <t>D167</t>
  </si>
  <si>
    <t>D168</t>
  </si>
  <si>
    <t>D169</t>
  </si>
  <si>
    <t>D170</t>
  </si>
  <si>
    <t>D171</t>
  </si>
  <si>
    <t>D172</t>
  </si>
  <si>
    <t>D173</t>
  </si>
  <si>
    <t>D174</t>
  </si>
  <si>
    <t>D175</t>
  </si>
  <si>
    <t>D176</t>
  </si>
  <si>
    <t>D177</t>
  </si>
  <si>
    <t>D178</t>
  </si>
  <si>
    <t>D179</t>
  </si>
  <si>
    <t>D180</t>
  </si>
  <si>
    <t>D181</t>
  </si>
  <si>
    <t>D182</t>
  </si>
  <si>
    <t>D183</t>
  </si>
  <si>
    <t>D184</t>
  </si>
  <si>
    <t>D185</t>
  </si>
  <si>
    <t>D186</t>
  </si>
  <si>
    <t>D187</t>
  </si>
  <si>
    <t>D188</t>
  </si>
  <si>
    <t>D189</t>
  </si>
  <si>
    <t>D190</t>
  </si>
  <si>
    <t>D191</t>
  </si>
  <si>
    <t>D192</t>
  </si>
  <si>
    <t>D193</t>
  </si>
  <si>
    <t>D194</t>
  </si>
  <si>
    <t>D195</t>
  </si>
  <si>
    <t>D196</t>
  </si>
  <si>
    <t>D197</t>
  </si>
  <si>
    <t>D198</t>
  </si>
  <si>
    <t>D199</t>
  </si>
  <si>
    <t>D200</t>
  </si>
  <si>
    <t>D201</t>
  </si>
  <si>
    <t>D202</t>
  </si>
  <si>
    <t>D203</t>
  </si>
  <si>
    <t>D204</t>
  </si>
  <si>
    <t>D205</t>
  </si>
  <si>
    <t>D206</t>
  </si>
  <si>
    <t>D207</t>
  </si>
  <si>
    <t>D208</t>
  </si>
  <si>
    <t>D209</t>
  </si>
  <si>
    <t>D210</t>
  </si>
  <si>
    <t>D211</t>
  </si>
  <si>
    <t>D212</t>
  </si>
  <si>
    <t>D213</t>
  </si>
  <si>
    <t>D214</t>
  </si>
  <si>
    <t>D215</t>
  </si>
  <si>
    <t>D216</t>
  </si>
  <si>
    <t>D217</t>
  </si>
  <si>
    <t>D218</t>
  </si>
  <si>
    <t>D219</t>
  </si>
  <si>
    <t>D220</t>
  </si>
  <si>
    <t>D221</t>
  </si>
  <si>
    <t>D222</t>
  </si>
  <si>
    <t>D223</t>
  </si>
  <si>
    <t>D224</t>
  </si>
  <si>
    <t>D225</t>
  </si>
  <si>
    <t>D226</t>
  </si>
  <si>
    <t>D227</t>
  </si>
  <si>
    <t>D228</t>
  </si>
  <si>
    <t>D229</t>
  </si>
  <si>
    <t>D230</t>
  </si>
  <si>
    <t>D231</t>
  </si>
  <si>
    <t>D232</t>
  </si>
  <si>
    <t>D233</t>
  </si>
  <si>
    <t>D234</t>
  </si>
  <si>
    <t>D235</t>
  </si>
  <si>
    <t>D236</t>
  </si>
  <si>
    <t>D237</t>
  </si>
  <si>
    <t>D238</t>
  </si>
  <si>
    <t>D239</t>
  </si>
  <si>
    <t>D240</t>
  </si>
  <si>
    <t>D241</t>
  </si>
  <si>
    <t>D242</t>
  </si>
  <si>
    <t>D243</t>
  </si>
  <si>
    <t>D244</t>
  </si>
  <si>
    <t>D245</t>
  </si>
  <si>
    <t>D246</t>
  </si>
  <si>
    <t>D247</t>
  </si>
  <si>
    <t>D248</t>
  </si>
  <si>
    <t>D249</t>
  </si>
  <si>
    <t>D250</t>
  </si>
  <si>
    <t>Total sales amount</t>
  </si>
  <si>
    <t>Total Quntity sold</t>
  </si>
  <si>
    <t>Item_Name By Item_ID</t>
  </si>
  <si>
    <t>TASK  - 1</t>
  </si>
  <si>
    <t>TASK  - 2</t>
  </si>
  <si>
    <t>TASK  - 3</t>
  </si>
  <si>
    <t>TASK  - 4</t>
  </si>
  <si>
    <t>Grand Total</t>
  </si>
  <si>
    <t>Sum of Sales_Amount</t>
  </si>
  <si>
    <t>Branch Name</t>
  </si>
  <si>
    <t>Total Sales_Amount</t>
  </si>
  <si>
    <t>Waiter Names</t>
  </si>
  <si>
    <t>Months</t>
  </si>
  <si>
    <t>Feb</t>
  </si>
  <si>
    <t>Mar</t>
  </si>
  <si>
    <t>Apr</t>
  </si>
  <si>
    <t>Payment Mode</t>
  </si>
  <si>
    <t xml:space="preserve"> Sales_Amount</t>
  </si>
  <si>
    <t>TYPE</t>
  </si>
  <si>
    <t>Task - 5</t>
  </si>
  <si>
    <t>Task - 6</t>
  </si>
  <si>
    <t>Task - 7</t>
  </si>
  <si>
    <t>Task - 8</t>
  </si>
  <si>
    <t>Waiter_Name BY Waiter_Id</t>
  </si>
  <si>
    <t>Branch_Name BY Branch_Id</t>
  </si>
  <si>
    <t>Sales_Category</t>
  </si>
  <si>
    <t>Classify_Orders</t>
  </si>
  <si>
    <t>Total Unique Orders</t>
  </si>
  <si>
    <t>Total orders</t>
  </si>
  <si>
    <t>Total Sales</t>
  </si>
  <si>
    <t>Total Orders</t>
  </si>
  <si>
    <t>Unique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</si>
</sst>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_);\(#,##0.0\)"/>
  </numFmts>
  <fonts count="3" x14ac:knownFonts="1">
    <font>
      <sz val="11"/>
      <color theme="1"/>
      <name val="Calibri"/>
      <family val="2"/>
      <scheme val="minor"/>
    </font>
    <font>
      <b/>
      <vertAlign val="superscript"/>
      <sz val="20"/>
      <color rgb="FF008000"/>
      <name val="ADLaM Display"/>
    </font>
    <font>
      <b/>
      <sz val="24"/>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1">
    <cellStyle name="Normal" xfId="0" builtinId="0"/>
  </cellStyles>
  <dxfs count="2">
    <dxf>
      <numFmt numFmtId="164" formatCode="yyyy\-mm\-dd"/>
    </dxf>
    <dxf>
      <numFmt numFmtId="0" formatCode="General"/>
    </dxf>
  </dxfs>
  <tableStyles count="0" defaultTableStyle="TableStyleMedium9" defaultPivotStyle="PivotStyleLight16"/>
  <colors>
    <mruColors>
      <color rgb="FF1F1F1F"/>
      <color rgb="FF00E8E2"/>
      <color rgb="FFAFAF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1.xml"/><Relationship Id="rId11" Type="http://schemas.openxmlformats.org/officeDocument/2006/relationships/pivotCacheDefinition" Target="pivotCache/pivotCacheDefinition3.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3.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worksheet" Target="worksheets/sheet8.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[Restaurant_Sales_Dashboard_Project.xlsx]Povite table!PivotTable1</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Branch wise Sales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'Povite table'!$B$1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'Povite table'!$A$2:$A$7</c:f>
              <c:strCache>
                <c:ptCount val="5"/>
                <c:pt idx="0">
                  <c:v>Food Fiesta</c:v>
                </c:pt>
                <c:pt idx="1">
                  <c:v>Paradise Restaurant</c:v>
                </c:pt>
                <c:pt idx="2">
                  <c:v>Royal Dine</c:v>
                </c:pt>
                <c:pt idx="3">
                  <c:v>Spice Hub</c:v>
                </c:pt>
                <c:pt idx="4">
                  <c:v>Urban Kitchen</c:v>
                </c:pt>
              </c:strCache>
            </c:strRef>
          </c:cat>
          <c:val>
            <c:numRef>
              <c:f>'Povite table'!$B$2:$B$7</c:f>
              <c:numCache>
                <c:formatCode>General</c:formatCode>
                <c:ptCount val="5"/>
                <c:pt idx="0">
                  <c:v>18400</c:v>
                </c:pt>
                <c:pt idx="1">
                  <c:v>18350</c:v>
                </c:pt>
                <c:pt idx="2">
                  <c:v>17050</c:v>
                </c:pt>
                <c:pt idx="3">
                  <c:v>19500</c:v>
                </c:pt>
                <c:pt idx="4">
                  <c:v>17150</c:v>
                </c:pt>
              </c:numCache>
            </c:numRef>
          </c:val>
          <c:extLst>
            <c:ext xmlns:c16="http://schemas.microsoft.com/office/drawing/2014/chart" uri="{C3380CC4-5D6E-409C-BE32-E72D297353CC}">
              <c16:uniqueId val="{00000000-F2D4-48C1-951B-8EE396349655}"/>
            </c:ext>
          </c:extLst>
        </c:ser>
        <c:dLbls>
          <c:showLegendKey val="0"/>
          <c:showVal val="1"/>
          <c:showCatName val="0"/>
          <c:showSerName val="0"/>
          <c:showPercent val="0"/>
          <c:showBubbleSize val="0"/>
        </c:dLbls>
        <c:gapWidth val="150"/>
        <c:shape val="box"/>
        <c:axId val="422654992"/>
        <c:axId val="422642992"/>
        <c:axId val="0"/>
      </c:bar3DChart>
      <c:catAx>
        <c:axId val="4226549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642992"/>
        <c:crosses val="autoZero"/>
        <c:auto val="1"/>
        <c:lblAlgn val="ctr"/>
        <c:lblOffset val="100"/>
        <c:noMultiLvlLbl val="0"/>
      </c:catAx>
      <c:valAx>
        <c:axId val="422642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65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[Restaurant_Sales_Dashboard_Project.xlsx]Povite table!PivotTable2</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 Wise Sales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'Povite table'!$B$11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'Povite table'!$A$12:$A$18</c:f>
              <c:strCache>
                <c:ptCount val="6"/>
                <c:pt idx="0">
                  <c:v>Beverage</c:v>
                </c:pt>
                <c:pt idx="1">
                  <c:v>Dessert</c:v>
                </c:pt>
                <c:pt idx="2">
                  <c:v>Fast Food</c:v>
                </c:pt>
                <c:pt idx="3">
                  <c:v>Main Course</c:v>
                </c:pt>
                <c:pt idx="4">
                  <c:v>Snacks</c:v>
                </c:pt>
                <c:pt idx="5">
                  <c:v>Starter</c:v>
                </c:pt>
              </c:strCache>
            </c:strRef>
          </c:cat>
          <c:val>
            <c:numRef>
              <c:f>'Povite table'!$B$12:$B$18</c:f>
              <c:numCache>
                <c:formatCode>General</c:formatCode>
                <c:ptCount val="6"/>
                <c:pt idx="0">
                  <c:v>5700</c:v>
                </c:pt>
                <c:pt idx="1">
                  <c:v>9150</c:v>
                </c:pt>
                <c:pt idx="2">
                  <c:v>27300</c:v>
                </c:pt>
                <c:pt idx="3">
                  <c:v>25650</c:v>
                </c:pt>
                <c:pt idx="4">
                  <c:v>5850</c:v>
                </c:pt>
                <c:pt idx="5">
                  <c:v>16800</c:v>
                </c:pt>
              </c:numCache>
            </c:numRef>
          </c:val>
          <c:extLst>
            <c:ext xmlns:c16="http://schemas.microsoft.com/office/drawing/2014/chart" uri="{C3380CC4-5D6E-409C-BE32-E72D297353CC}">
              <c16:uniqueId val="{00000000-068C-4D90-B842-B2BFC43E7C11}"/>
            </c:ext>
          </c:extLst>
        </c:ser>
        <c:dLbls>
          <c:showLegendKey val="0"/>
          <c:showVal val="1"/>
          <c:showCatName val="0"/>
          <c:showSerName val="0"/>
          <c:showPercent val="0"/>
          <c:showBubbleSize val="0"/>
        </c:dLbls>
        <c:gapWidth val="150"/>
        <c:shape val="box"/>
        <c:axId val="422643952"/>
        <c:axId val="422666512"/>
        <c:axId val="0"/>
      </c:bar3DChart>
      <c:catAx>
        <c:axId val="42264395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666512"/>
        <c:crosses val="autoZero"/>
        <c:auto val="1"/>
        <c:lblAlgn val="ctr"/>
        <c:lblOffset val="100"/>
        <c:noMultiLvlLbl val="0"/>
      </c:catAx>
      <c:valAx>
        <c:axId val="422666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64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[Restaurant_Sales_Dashboard_Project.xlsx]Povite table!PivotTable4</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l"/>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l"/>
          <c:showLegendKey val="0"/>
          <c:showVal val="1"/>
          <c:showCatName val="1"/>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'Povite table'!$I$23</c:f>
              <c:strCache>
                <c:ptCount val="1"/>
                <c:pt idx="0">
                  <c:v>Total</c:v>
                </c:pt>
              </c:strCache>
            </c:strRef>
          </c:tx>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l"/>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'Povite table'!$H$24:$H$28</c:f>
              <c:strCache>
                <c:ptCount val="4"/>
                <c:pt idx="0">
                  <c:v>Jan</c:v>
                </c:pt>
                <c:pt idx="1">
                  <c:v>Feb</c:v>
                </c:pt>
                <c:pt idx="2">
                  <c:v>Mar</c:v>
                </c:pt>
                <c:pt idx="3">
                  <c:v>Apr</c:v>
                </c:pt>
              </c:strCache>
            </c:strRef>
          </c:cat>
          <c:val>
            <c:numRef>
              <c:f>'Povite table'!$I$24:$I$28</c:f>
              <c:numCache>
                <c:formatCode>General</c:formatCode>
                <c:ptCount val="4"/>
                <c:pt idx="0">
                  <c:v>84640</c:v>
                </c:pt>
                <c:pt idx="1">
                  <c:v>2040</c:v>
                </c:pt>
                <c:pt idx="2">
                  <c:v>2170</c:v>
                </c:pt>
                <c:pt idx="3">
                  <c:v>1600</c:v>
                </c:pt>
              </c:numCache>
            </c:numRef>
          </c:val>
          <c:smooth val="0"/>
          <c:extLst>
            <c:ext xmlns:c16="http://schemas.microsoft.com/office/drawing/2014/chart" uri="{C3380CC4-5D6E-409C-BE32-E72D297353CC}">
              <c16:uniqueId val="{00000000-5D20-4CE2-89CA-584D03C78656}"/>
            </c:ext>
          </c:extLst>
        </c:ser>
        <c:dLbls>
          <c:showLegendKey val="0"/>
          <c:showVal val="0"/>
          <c:showCatName val="0"/>
          <c:showSerName val="0"/>
          <c:showPercent val="0"/>
          <c:showBubbleSize val="0"/>
        </c:dLbls>
        <c:marker val="1"/>
        <c:smooth val="0"/>
        <c:axId val="625159776"/>
        <c:axId val="625161696"/>
      </c:lineChart>
      <c:catAx>
        <c:axId val="62515977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Months wise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161696"/>
        <c:crosses val="autoZero"/>
        <c:auto val="1"/>
        <c:lblAlgn val="ctr"/>
        <c:lblOffset val="100"/>
        <c:noMultiLvlLbl val="0"/>
      </c:catAx>
      <c:valAx>
        <c:axId val="625161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15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[Restaurant_Sales_Dashboard_Project.xlsx]Povite table!PivotTable3</c:name>
    <c:fmtId val="1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Waiter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'Povite table'!$B$23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'Povite table'!$A$24:$A$34</c:f>
              <c:strCache>
                <c:ptCount val="10"/>
                <c:pt idx="0">
                  <c:v>Ajay</c:v>
                </c:pt>
                <c:pt idx="1">
                  <c:v>Arjun</c:v>
                </c:pt>
                <c:pt idx="2">
                  <c:v>Kiran</c:v>
                </c:pt>
                <c:pt idx="3">
                  <c:v>Mahesh</c:v>
                </c:pt>
                <c:pt idx="4">
                  <c:v>Naveen</c:v>
                </c:pt>
                <c:pt idx="5">
                  <c:v>Praveen</c:v>
                </c:pt>
                <c:pt idx="6">
                  <c:v>Ramesh</c:v>
                </c:pt>
                <c:pt idx="7">
                  <c:v>Suresh</c:v>
                </c:pt>
                <c:pt idx="8">
                  <c:v>Teja</c:v>
                </c:pt>
                <c:pt idx="9">
                  <c:v>Vinod</c:v>
                </c:pt>
              </c:strCache>
            </c:strRef>
          </c:cat>
          <c:val>
            <c:numRef>
              <c:f>'Povite table'!$B$24:$B$34</c:f>
              <c:numCache>
                <c:formatCode>General</c:formatCode>
                <c:ptCount val="10"/>
                <c:pt idx="0">
                  <c:v>6100</c:v>
                </c:pt>
                <c:pt idx="1">
                  <c:v>5900</c:v>
                </c:pt>
                <c:pt idx="2">
                  <c:v>13400</c:v>
                </c:pt>
                <c:pt idx="3">
                  <c:v>5850</c:v>
                </c:pt>
                <c:pt idx="4">
                  <c:v>12500</c:v>
                </c:pt>
                <c:pt idx="5">
                  <c:v>11150</c:v>
                </c:pt>
                <c:pt idx="6">
                  <c:v>7000</c:v>
                </c:pt>
                <c:pt idx="7">
                  <c:v>5300</c:v>
                </c:pt>
                <c:pt idx="8">
                  <c:v>11850</c:v>
                </c:pt>
                <c:pt idx="9">
                  <c:v>11400</c:v>
                </c:pt>
              </c:numCache>
            </c:numRef>
          </c:val>
          <c:extLst>
            <c:ext xmlns:c16="http://schemas.microsoft.com/office/drawing/2014/chart" uri="{C3380CC4-5D6E-409C-BE32-E72D297353CC}">
              <c16:uniqueId val="{00000000-38CB-4D2B-A894-653C57C381D0}"/>
            </c:ext>
          </c:extLst>
        </c:ser>
        <c:dLbls>
          <c:showLegendKey val="0"/>
          <c:showVal val="0"/>
          <c:showCatName val="0"/>
          <c:showSerName val="0"/>
          <c:showPercent val="0"/>
          <c:showBubbleSize val="0"/>
        </c:dLbls>
        <c:gapWidth val="150"/>
        <c:shape val="box"/>
        <c:axId val="660389920"/>
        <c:axId val="660390400"/>
        <c:axId val="0"/>
      </c:bar3DChart>
      <c:catAx>
        <c:axId val="66038992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0390400"/>
        <c:crosses val="autoZero"/>
        <c:auto val="1"/>
        <c:lblAlgn val="ctr"/>
        <c:lblOffset val="100"/>
        <c:noMultiLvlLbl val="0"/>
      </c:catAx>
      <c:valAx>
        <c:axId val="66039040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0389920"/>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[Restaurant_Sales_Dashboard_Project.xlsx]Povite table!PivotTable5</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Payment Method wise Sales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5">
                  <a:tint val="54000"/>
                  <a:shade val="51000"/>
                  <a:satMod val="130000"/>
                </a:schemeClr>
              </a:gs>
              <a:gs pos="80000">
                <a:schemeClr val="accent5">
                  <a:tint val="54000"/>
                  <a:shade val="93000"/>
                  <a:satMod val="130000"/>
                </a:schemeClr>
              </a:gs>
              <a:gs pos="100000">
                <a:schemeClr val="accent5">
                  <a:tint val="54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'Povite table'!$I$11</c:f>
              <c:strCache>
                <c:ptCount val="1"/>
                <c:pt idx="0">
                  <c:v>Total</c:v>
                </c:pt>
              </c:strCache>
            </c:strRef>
          </c:tx>
          <c:dPt>
            <c:idx val="0"/>
            <c:bubble3D val="0"/>
            <c:spPr>
              <a:gradFill rotWithShape="1">
                <a:gsLst>
                  <a:gs pos="0">
                    <a:schemeClr val="accent5">
                      <a:shade val="53000"/>
                      <a:shade val="51000"/>
                      <a:satMod val="130000"/>
                    </a:schemeClr>
                  </a:gs>
                  <a:gs pos="80000">
                    <a:schemeClr val="accent5">
                      <a:shade val="53000"/>
                      <a:shade val="93000"/>
                      <a:satMod val="130000"/>
                    </a:schemeClr>
                  </a:gs>
                  <a:gs pos="100000">
                    <a:schemeClr val="accent5">
                      <a:shade val="53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5CF-44B2-8A07-ABBBB0D92B4D}"/>
              </c:ext>
            </c:extLst>
          </c:dPt>
          <c:dPt>
            <c:idx val="1"/>
            <c:bubble3D val="0"/>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5CF-44B2-8A07-ABBBB0D92B4D}"/>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5CF-44B2-8A07-ABBBB0D92B4D}"/>
              </c:ext>
            </c:extLst>
          </c:dPt>
          <c:dPt>
            <c:idx val="3"/>
            <c:bubble3D val="0"/>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5CF-44B2-8A07-ABBBB0D92B4D}"/>
              </c:ext>
            </c:extLst>
          </c:dPt>
          <c:dPt>
            <c:idx val="4"/>
            <c:bubble3D val="0"/>
            <c:spPr>
              <a:gradFill rotWithShape="1">
                <a:gsLst>
                  <a:gs pos="0">
                    <a:schemeClr val="accent5">
                      <a:tint val="30000"/>
                      <a:shade val="51000"/>
                      <a:satMod val="130000"/>
                    </a:schemeClr>
                  </a:gs>
                  <a:gs pos="80000">
                    <a:schemeClr val="accent5">
                      <a:tint val="30000"/>
                      <a:shade val="93000"/>
                      <a:satMod val="130000"/>
                    </a:schemeClr>
                  </a:gs>
                  <a:gs pos="100000">
                    <a:schemeClr val="accent5">
                      <a:tint val="3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B4F7-47C4-A654-D07C901DC0F5}"/>
              </c:ext>
            </c:extLst>
          </c:dPt>
          <c:dLbls>
            <c:spPr>
              <a:solidFill>
                <a:sysClr val="window" lastClr="FFFFFF"/>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'Povite table'!$H$12:$H$16</c:f>
              <c:strCache>
                <c:ptCount val="4"/>
                <c:pt idx="0">
                  <c:v>Cash</c:v>
                </c:pt>
                <c:pt idx="1">
                  <c:v>Credit Card</c:v>
                </c:pt>
                <c:pt idx="2">
                  <c:v>Debit Card</c:v>
                </c:pt>
                <c:pt idx="3">
                  <c:v>UPI</c:v>
                </c:pt>
              </c:strCache>
            </c:strRef>
          </c:cat>
          <c:val>
            <c:numRef>
              <c:f>'Povite table'!$I$12:$I$16</c:f>
              <c:numCache>
                <c:formatCode>General</c:formatCode>
                <c:ptCount val="4"/>
                <c:pt idx="0">
                  <c:v>13100</c:v>
                </c:pt>
                <c:pt idx="1">
                  <c:v>17050</c:v>
                </c:pt>
                <c:pt idx="2">
                  <c:v>28500</c:v>
                </c:pt>
                <c:pt idx="3">
                  <c:v>31800</c:v>
                </c:pt>
              </c:numCache>
            </c:numRef>
          </c:val>
          <c:extLst>
            <c:ext xmlns:c16="http://schemas.microsoft.com/office/drawing/2014/chart" uri="{C3380CC4-5D6E-409C-BE32-E72D297353CC}">
              <c16:uniqueId val="{00000008-65CF-44B2-8A07-ABBBB0D92B4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[Restaurant_Sales_Dashboard_Project.xlsx]Povite table!PivotTable6</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Dining</a:t>
            </a:r>
            <a:r>
              <a:rPr lang="en-US" baseline="0"/>
              <a:t> Type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outerShdw blurRad="254000" sx="102000" sy="102000" algn="ctr" rotWithShape="0">
              <a:prstClr val="black">
                <a:alpha val="20000"/>
              </a:prstClr>
            </a:outerShdw>
          </a:effectLst>
        </c:spPr>
      </c:pivotFmt>
      <c:pivotFmt>
        <c:idx val="2"/>
        <c:spPr>
          <a:solidFill>
            <a:schemeClr val="accent5"/>
          </a:solidFill>
          <a:ln>
            <a:noFill/>
          </a:ln>
          <a:effectLst>
            <a:outerShdw blurRad="254000" sx="102000" sy="102000" algn="ctr" rotWithShape="0">
              <a:prstClr val="black">
                <a:alpha val="20000"/>
              </a:prstClr>
            </a:outerShdw>
          </a:effectLst>
        </c:spPr>
      </c:pivotFmt>
      <c:pivotFmt>
        <c:idx val="3"/>
        <c:spPr>
          <a:solidFill>
            <a:schemeClr val="accent5"/>
          </a:solidFill>
          <a:ln>
            <a:noFill/>
          </a:ln>
          <a:effectLst>
            <a:outerShdw blurRad="254000" sx="102000" sy="102000" algn="ctr" rotWithShape="0">
              <a:prstClr val="black">
                <a:alpha val="20000"/>
              </a:prstClr>
            </a:outerShdw>
          </a:effectLst>
        </c:spPr>
      </c:pivotFmt>
      <c:pivotFmt>
        <c:idx val="4"/>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olidFill>
          <a:ln>
            <a:noFill/>
          </a:ln>
          <a:effectLst>
            <a:outerShdw blurRad="254000" sx="102000" sy="102000" algn="ctr" rotWithShape="0">
              <a:prstClr val="black">
                <a:alpha val="20000"/>
              </a:prstClr>
            </a:outerShdw>
          </a:effectLst>
        </c:spPr>
      </c:pivotFmt>
      <c:pivotFmt>
        <c:idx val="6"/>
        <c:spPr>
          <a:solidFill>
            <a:schemeClr val="accent5"/>
          </a:solidFill>
          <a:ln>
            <a:noFill/>
          </a:ln>
          <a:effectLst>
            <a:outerShdw blurRad="254000" sx="102000" sy="102000" algn="ctr" rotWithShape="0">
              <a:prstClr val="black">
                <a:alpha val="20000"/>
              </a:prstClr>
            </a:outerShdw>
          </a:effectLst>
        </c:spPr>
      </c:pivotFmt>
      <c:pivotFmt>
        <c:idx val="7"/>
        <c:spPr>
          <a:solidFill>
            <a:schemeClr val="accent5"/>
          </a:solidFill>
          <a:ln>
            <a:noFill/>
          </a:ln>
          <a:effectLst>
            <a:outerShdw blurRad="254000" sx="102000" sy="102000" algn="ctr" rotWithShape="0">
              <a:prstClr val="black">
                <a:alpha val="20000"/>
              </a:prstClr>
            </a:outerShdw>
          </a:effectLst>
        </c:spPr>
      </c:pivotFmt>
      <c:pivotFmt>
        <c:idx val="8"/>
        <c:spPr>
          <a:solidFill>
            <a:schemeClr val="accent5"/>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5">
              <a:shade val="58000"/>
            </a:schemeClr>
          </a:solidFill>
          <a:ln>
            <a:noFill/>
          </a:ln>
          <a:effectLst>
            <a:outerShdw blurRad="254000" sx="102000" sy="102000" algn="ctr" rotWithShape="0">
              <a:prstClr val="black">
                <a:alpha val="20000"/>
              </a:prstClr>
            </a:outerShdw>
          </a:effectLst>
        </c:spPr>
      </c:pivotFmt>
      <c:pivotFmt>
        <c:idx val="10"/>
        <c:spPr>
          <a:solidFill>
            <a:schemeClr val="accent5">
              <a:shade val="86000"/>
            </a:schemeClr>
          </a:solidFill>
          <a:ln>
            <a:noFill/>
          </a:ln>
          <a:effectLst>
            <a:outerShdw blurRad="254000" sx="102000" sy="102000" algn="ctr" rotWithShape="0">
              <a:prstClr val="black">
                <a:alpha val="20000"/>
              </a:prstClr>
            </a:outerShdw>
          </a:effectLst>
        </c:spPr>
      </c:pivotFmt>
      <c:pivotFmt>
        <c:idx val="11"/>
        <c:spPr>
          <a:solidFill>
            <a:schemeClr val="accent5">
              <a:tint val="86000"/>
            </a:schemeClr>
          </a:solidFill>
          <a:ln>
            <a:noFill/>
          </a:ln>
          <a:effectLst>
            <a:outerShdw blurRad="254000" sx="102000" sy="102000" algn="ctr" rotWithShape="0">
              <a:prstClr val="black">
                <a:alpha val="20000"/>
              </a:prstClr>
            </a:outerShdw>
          </a:effectLst>
        </c:spPr>
      </c:pivotFmt>
      <c:pivotFmt>
        <c:idx val="12"/>
        <c:spPr>
          <a:solidFill>
            <a:schemeClr val="accent5">
              <a:tint val="58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'Povite table'!$I$1</c:f>
              <c:strCache>
                <c:ptCount val="1"/>
                <c:pt idx="0">
                  <c:v>Total</c:v>
                </c:pt>
              </c:strCache>
            </c:strRef>
          </c:tx>
          <c:dPt>
            <c:idx val="0"/>
            <c:bubble3D val="0"/>
            <c:spPr>
              <a:solidFill>
                <a:schemeClr val="accent5">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146-4471-AC00-DC0E12833AD9}"/>
              </c:ext>
            </c:extLst>
          </c:dPt>
          <c:dPt>
            <c:idx val="1"/>
            <c:bubble3D val="0"/>
            <c:spPr>
              <a:solidFill>
                <a:schemeClr val="accent5">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146-4471-AC00-DC0E12833AD9}"/>
              </c:ext>
            </c:extLst>
          </c:dPt>
          <c:dPt>
            <c:idx val="2"/>
            <c:bubble3D val="0"/>
            <c:spPr>
              <a:solidFill>
                <a:schemeClr val="accent5">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146-4471-AC00-DC0E12833AD9}"/>
              </c:ext>
            </c:extLst>
          </c:dPt>
          <c:dPt>
            <c:idx val="3"/>
            <c:bubble3D val="0"/>
            <c:spPr>
              <a:solidFill>
                <a:schemeClr val="accent5">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8E4-4078-9F64-0CBA4003B9A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'Povite table'!$H$2:$H$5</c:f>
              <c:strCache>
                <c:ptCount val="3"/>
                <c:pt idx="0">
                  <c:v>Delivery</c:v>
                </c:pt>
                <c:pt idx="1">
                  <c:v>Dine-In</c:v>
                </c:pt>
                <c:pt idx="2">
                  <c:v>Takeaway</c:v>
                </c:pt>
              </c:strCache>
            </c:strRef>
          </c:cat>
          <c:val>
            <c:numRef>
              <c:f>'Povite table'!$I$2:$I$5</c:f>
              <c:numCache>
                <c:formatCode>General</c:formatCode>
                <c:ptCount val="3"/>
                <c:pt idx="0">
                  <c:v>28810</c:v>
                </c:pt>
                <c:pt idx="1">
                  <c:v>30950</c:v>
                </c:pt>
                <c:pt idx="2">
                  <c:v>30690</c:v>
                </c:pt>
              </c:numCache>
            </c:numRef>
          </c:val>
          <c:extLst>
            <c:ext xmlns:c16="http://schemas.microsoft.com/office/drawing/2014/chart" uri="{C3380CC4-5D6E-409C-BE32-E72D297353CC}">
              <c16:uniqueId val="{00000006-5146-4471-AC00-DC0E12833AD9}"/>
            </c:ext>
          </c:extLst>
        </c:ser>
        <c:dLbls>
          <c:dLblPos val="outEnd"/>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drawings/_rels/drawing3.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hyperlink" Target="#Branches!A1"/><Relationship Id="rId18" Type="http://schemas.openxmlformats.org/officeDocument/2006/relationships/image" Target="../media/image10.sv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9.png"/><Relationship Id="rId2" Type="http://schemas.openxmlformats.org/officeDocument/2006/relationships/chart" Target="../charts/chart2.xml"/><Relationship Id="rId16" Type="http://schemas.openxmlformats.org/officeDocument/2006/relationships/hyperlink" Target="#Orders!A1"/><Relationship Id="rId20" Type="http://schemas.openxmlformats.org/officeDocument/2006/relationships/image" Target="../media/image12.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8.svg"/><Relationship Id="rId10" Type="http://schemas.openxmlformats.org/officeDocument/2006/relationships/image" Target="../media/image4.svg"/><Relationship Id="rId19" Type="http://schemas.openxmlformats.org/officeDocument/2006/relationships/image" Target="../media/image11.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79375</xdr:rowOff>
    </xdr:from>
    <xdr:to>
      <xdr:col>17</xdr:col>
      <xdr:colOff>99219</xdr:colOff>
      <xdr:row>5</xdr:row>
      <xdr:rowOff>39687</xdr:rowOff>
    </xdr:to>
    <xdr:sp macro="" textlink="">
      <xdr:nvSpPr>
        <xdr:cNvPr id="2" name="Rectangle: Rounded Corners 1">
          <a:extLst>
            <a:ext uri="{FF2B5EF4-FFF2-40B4-BE49-F238E27FC236}">
              <a16:creationId xmlns:a16="http://schemas.microsoft.com/office/drawing/2014/main" id="{B4EF7281-47A2-3724-2CA3-7DF9BCBC284C}"/>
            </a:ext>
          </a:extLst>
        </xdr:cNvPr>
        <xdr:cNvSpPr/>
      </xdr:nvSpPr>
      <xdr:spPr>
        <a:xfrm>
          <a:off x="5774531" y="277813"/>
          <a:ext cx="12561094" cy="754062"/>
        </a:xfrm>
        <a:prstGeom prst="round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714374</xdr:colOff>
      <xdr:row>1</xdr:row>
      <xdr:rowOff>178595</xdr:rowOff>
    </xdr:from>
    <xdr:to>
      <xdr:col>14</xdr:col>
      <xdr:colOff>396874</xdr:colOff>
      <xdr:row>4</xdr:row>
      <xdr:rowOff>138908</xdr:rowOff>
    </xdr:to>
    <xdr:sp macro="" textlink="">
      <xdr:nvSpPr>
        <xdr:cNvPr id="3" name="TextBox 2">
          <a:extLst>
            <a:ext uri="{FF2B5EF4-FFF2-40B4-BE49-F238E27FC236}">
              <a16:creationId xmlns:a16="http://schemas.microsoft.com/office/drawing/2014/main" id="{CFDDF6EB-109E-08B5-5963-87735DE871B3}"/>
            </a:ext>
          </a:extLst>
        </xdr:cNvPr>
        <xdr:cNvSpPr txBox="1"/>
      </xdr:nvSpPr>
      <xdr:spPr>
        <a:xfrm>
          <a:off x="10199687" y="377033"/>
          <a:ext cx="4325937" cy="555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a:solidFill>
                <a:schemeClr val="accent4"/>
              </a:solidFill>
            </a:rPr>
            <a:t>TASKS</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1390650</xdr:colOff>
          <xdr:row>60</xdr:row>
          <xdr:rowOff>133350</xdr:rowOff>
        </xdr:from>
        <xdr:to>
          <xdr:col>13</xdr:col>
          <xdr:colOff>1390650</xdr:colOff>
          <xdr:row>64</xdr:row>
          <xdr:rowOff>57150</xdr:rowOff>
        </xdr:to>
        <xdr:sp macro="" textlink="">
          <xdr:nvSpPr>
            <xdr:cNvPr id="1030" name="Button 6" descr="home" hidden="1">
              <a:extLst>
                <a:ext uri="{63B3BB69-23CF-44E3-9099-C40C66FF867C}">
                  <a14:compatExt spid="_x0000_s1030"/>
                </a:ext>
                <a:ext uri="{FF2B5EF4-FFF2-40B4-BE49-F238E27FC236}">
                  <a16:creationId xmlns:a16="http://schemas.microsoft.com/office/drawing/2014/main" id="{00000000-0008-0000-0600-000006040000}"/>
                </a:ext>
              </a:extLst>
            </xdr:cNvPr>
            <xdr:cNvSpPr/>
          </xdr:nvSpPr>
          <xdr:spPr bwMode="auto">
            <a:xfrm>
              <a:off x="0" y="0"/>
              <a:ext cx="0" cy="0"/>
            </a:xfrm>
            <a:prstGeom prst="rect">
              <a:avLst/>
            </a:prstGeom>
            <a:noFill/>
            <a:ln w="9525">
              <a:miter lim="800000"/>
              <a:headEnd/>
              <a:tailEnd/>
            </a:ln>
          </xdr:spPr>
          <xdr:txBody>
            <a:bodyPr vertOverflow="clip" wrap="square" lIns="914400" tIns="594360" rIns="731520" bIns="320040" anchor="ctr" upright="1"/>
            <a:lstStyle/>
            <a:p>
              <a:pPr algn="ctr" rtl="0">
                <a:defRPr sz="1000"/>
              </a:pPr>
              <a:r>
                <a:rPr lang="en-US" sz="2000" b="1" i="0" u="none" strike="noStrike" baseline="30000">
                  <a:solidFill>
                    <a:srgbClr val="008000"/>
                  </a:solidFill>
                  <a:latin typeface="ADLaM Display"/>
                  <a:ea typeface="ADLaM Display"/>
                  <a:cs typeface="ADLaM Display"/>
                </a:rPr>
                <a:t>Button 6</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423332</xdr:colOff>
      <xdr:row>75</xdr:row>
      <xdr:rowOff>95599</xdr:rowOff>
    </xdr:to>
    <xdr:sp macro="" textlink="">
      <xdr:nvSpPr>
        <xdr:cNvPr id="2" name="Rectangle 1">
          <a:extLst>
            <a:ext uri="{FF2B5EF4-FFF2-40B4-BE49-F238E27FC236}">
              <a16:creationId xmlns:a16="http://schemas.microsoft.com/office/drawing/2014/main" id="{981C3422-92D9-4C69-97E7-AE26A4E3229A}"/>
            </a:ext>
          </a:extLst>
        </xdr:cNvPr>
        <xdr:cNvSpPr/>
      </xdr:nvSpPr>
      <xdr:spPr>
        <a:xfrm>
          <a:off x="0" y="0"/>
          <a:ext cx="13982450" cy="14102952"/>
        </a:xfrm>
        <a:prstGeom prst="rect">
          <a:avLst/>
        </a:prstGeom>
        <a:solidFill>
          <a:schemeClr val="accent4">
            <a:lumMod val="75000"/>
          </a:schemeClr>
        </a:solidFill>
        <a:ln>
          <a:solidFill>
            <a:srgbClr val="FFC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1</xdr:colOff>
      <xdr:row>14</xdr:row>
      <xdr:rowOff>181630</xdr:rowOff>
    </xdr:from>
    <xdr:to>
      <xdr:col>12</xdr:col>
      <xdr:colOff>541618</xdr:colOff>
      <xdr:row>36</xdr:row>
      <xdr:rowOff>18676</xdr:rowOff>
    </xdr:to>
    <xdr:graphicFrame macro="">
      <xdr:nvGraphicFramePr>
        <xdr:cNvPr id="3" name="Chart 2">
          <a:extLst>
            <a:ext uri="{FF2B5EF4-FFF2-40B4-BE49-F238E27FC236}">
              <a16:creationId xmlns:a16="http://schemas.microsoft.com/office/drawing/2014/main" id="{2E1B8CA4-1E6F-47C0-AF3B-E4E9BAABB4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18677</xdr:colOff>
      <xdr:row>15</xdr:row>
      <xdr:rowOff>15324</xdr:rowOff>
    </xdr:from>
    <xdr:to>
      <xdr:col>22</xdr:col>
      <xdr:colOff>158751</xdr:colOff>
      <xdr:row>36</xdr:row>
      <xdr:rowOff>0</xdr:rowOff>
    </xdr:to>
    <xdr:graphicFrame macro="">
      <xdr:nvGraphicFramePr>
        <xdr:cNvPr id="4" name="Chart 3">
          <a:extLst>
            <a:ext uri="{FF2B5EF4-FFF2-40B4-BE49-F238E27FC236}">
              <a16:creationId xmlns:a16="http://schemas.microsoft.com/office/drawing/2014/main" id="{FECFAFB2-FB71-4369-BFFA-18225D6AEB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80412</xdr:colOff>
      <xdr:row>36</xdr:row>
      <xdr:rowOff>127369</xdr:rowOff>
    </xdr:from>
    <xdr:to>
      <xdr:col>11</xdr:col>
      <xdr:colOff>196279</xdr:colOff>
      <xdr:row>51</xdr:row>
      <xdr:rowOff>68465</xdr:rowOff>
    </xdr:to>
    <xdr:graphicFrame macro="">
      <xdr:nvGraphicFramePr>
        <xdr:cNvPr id="5" name="Chart 4">
          <a:extLst>
            <a:ext uri="{FF2B5EF4-FFF2-40B4-BE49-F238E27FC236}">
              <a16:creationId xmlns:a16="http://schemas.microsoft.com/office/drawing/2014/main" id="{4B77E363-56C0-4A6C-8E5F-5E632C1BE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359523</xdr:colOff>
      <xdr:row>36</xdr:row>
      <xdr:rowOff>110923</xdr:rowOff>
    </xdr:from>
    <xdr:to>
      <xdr:col>22</xdr:col>
      <xdr:colOff>142365</xdr:colOff>
      <xdr:row>51</xdr:row>
      <xdr:rowOff>34535</xdr:rowOff>
    </xdr:to>
    <xdr:graphicFrame macro="">
      <xdr:nvGraphicFramePr>
        <xdr:cNvPr id="6" name="Chart 5">
          <a:extLst>
            <a:ext uri="{FF2B5EF4-FFF2-40B4-BE49-F238E27FC236}">
              <a16:creationId xmlns:a16="http://schemas.microsoft.com/office/drawing/2014/main" id="{17AC2535-517F-44B8-BCDF-C9A03EAC1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99829</xdr:colOff>
      <xdr:row>51</xdr:row>
      <xdr:rowOff>158586</xdr:rowOff>
    </xdr:from>
    <xdr:to>
      <xdr:col>11</xdr:col>
      <xdr:colOff>225136</xdr:colOff>
      <xdr:row>68</xdr:row>
      <xdr:rowOff>52931</xdr:rowOff>
    </xdr:to>
    <xdr:graphicFrame macro="">
      <xdr:nvGraphicFramePr>
        <xdr:cNvPr id="7" name="Chart 6">
          <a:extLst>
            <a:ext uri="{FF2B5EF4-FFF2-40B4-BE49-F238E27FC236}">
              <a16:creationId xmlns:a16="http://schemas.microsoft.com/office/drawing/2014/main" id="{0B26BDC6-9E57-488F-BAB7-F4E6ED10B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392206</xdr:colOff>
      <xdr:row>51</xdr:row>
      <xdr:rowOff>186009</xdr:rowOff>
    </xdr:from>
    <xdr:to>
      <xdr:col>22</xdr:col>
      <xdr:colOff>168088</xdr:colOff>
      <xdr:row>68</xdr:row>
      <xdr:rowOff>36986</xdr:rowOff>
    </xdr:to>
    <xdr:graphicFrame macro="">
      <xdr:nvGraphicFramePr>
        <xdr:cNvPr id="8" name="Chart 7">
          <a:extLst>
            <a:ext uri="{FF2B5EF4-FFF2-40B4-BE49-F238E27FC236}">
              <a16:creationId xmlns:a16="http://schemas.microsoft.com/office/drawing/2014/main" id="{DA485936-F10D-4222-A499-340A5F280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39687</xdr:colOff>
      <xdr:row>0</xdr:row>
      <xdr:rowOff>99217</xdr:rowOff>
    </xdr:from>
    <xdr:to>
      <xdr:col>22</xdr:col>
      <xdr:colOff>291041</xdr:colOff>
      <xdr:row>5</xdr:row>
      <xdr:rowOff>171979</xdr:rowOff>
    </xdr:to>
    <xdr:sp macro="" textlink="">
      <xdr:nvSpPr>
        <xdr:cNvPr id="24" name="Rectangle: Rounded Corners 23">
          <a:extLst>
            <a:ext uri="{FF2B5EF4-FFF2-40B4-BE49-F238E27FC236}">
              <a16:creationId xmlns:a16="http://schemas.microsoft.com/office/drawing/2014/main" id="{BA6B7298-3AFA-4509-88FD-E5CA04E2487F}"/>
            </a:ext>
          </a:extLst>
        </xdr:cNvPr>
        <xdr:cNvSpPr/>
      </xdr:nvSpPr>
      <xdr:spPr>
        <a:xfrm>
          <a:off x="39687" y="99217"/>
          <a:ext cx="13639271" cy="998804"/>
        </a:xfrm>
        <a:prstGeom prst="roundRect">
          <a:avLst/>
        </a:prstGeom>
        <a:solidFill>
          <a:srgbClr val="0070C0"/>
        </a:solidFill>
        <a:ln>
          <a:solidFill>
            <a:srgbClr val="FFC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solidFill>
              <a:srgbClr val="FFC000"/>
            </a:solidFill>
          </a:endParaRPr>
        </a:p>
      </xdr:txBody>
    </xdr:sp>
    <xdr:clientData/>
  </xdr:twoCellAnchor>
  <xdr:twoCellAnchor editAs="oneCell">
    <xdr:from>
      <xdr:col>0</xdr:col>
      <xdr:colOff>132293</xdr:colOff>
      <xdr:row>7</xdr:row>
      <xdr:rowOff>66146</xdr:rowOff>
    </xdr:from>
    <xdr:to>
      <xdr:col>3</xdr:col>
      <xdr:colOff>386953</xdr:colOff>
      <xdr:row>17</xdr:row>
      <xdr:rowOff>-1</xdr:rowOff>
    </xdr:to>
    <mc:AlternateContent xmlns:mc="http://schemas.openxmlformats.org/markup-compatibility/2006" xmlns:a14="http://schemas.microsoft.com/office/drawing/2010/main">
      <mc:Choice Requires="a14">
        <xdr:graphicFrame macro="">
          <xdr:nvGraphicFramePr>
            <xdr:cNvPr id="45" name="Branch_Name 1">
              <a:extLst>
                <a:ext uri="{FF2B5EF4-FFF2-40B4-BE49-F238E27FC236}">
                  <a16:creationId xmlns:a16="http://schemas.microsoft.com/office/drawing/2014/main" id="{EA3AEC9A-4F8F-429A-8D07-4BE2CA74FB2C}"/>
                </a:ext>
              </a:extLst>
            </xdr:cNvPr>
            <xdr:cNvGraphicFramePr/>
          </xdr:nvGraphicFramePr>
          <xdr:xfrm>
            <a:off x="0" y="0"/>
            <a:ext cx="0" cy="0"/>
          </xdr:xfrm>
          <a:graphic>
            <a:graphicData uri="http://schemas.microsoft.com/office/drawing/2010/slicer">
              <sle:slicer xmlns:sle="http://schemas.microsoft.com/office/drawing/2010/slicer" name="Branch_Name 1"/>
            </a:graphicData>
          </a:graphic>
        </xdr:graphicFrame>
      </mc:Choice>
      <mc:Fallback xmlns="">
        <xdr:sp macro="" textlink="">
          <xdr:nvSpPr>
            <xdr:cNvPr id="0" name=""/>
            <xdr:cNvSpPr>
              <a:spLocks noTextEdit="1"/>
            </xdr:cNvSpPr>
          </xdr:nvSpPr>
          <xdr:spPr>
            <a:xfrm>
              <a:off x="132293" y="1356630"/>
              <a:ext cx="2098208" cy="1777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132292</xdr:colOff>
      <xdr:row>17</xdr:row>
      <xdr:rowOff>92604</xdr:rowOff>
    </xdr:from>
    <xdr:to>
      <xdr:col>3</xdr:col>
      <xdr:colOff>386953</xdr:colOff>
      <xdr:row>28</xdr:row>
      <xdr:rowOff>112059</xdr:rowOff>
    </xdr:to>
    <mc:AlternateContent xmlns:mc="http://schemas.openxmlformats.org/markup-compatibility/2006" xmlns:a14="http://schemas.microsoft.com/office/drawing/2010/main">
      <mc:Choice Requires="a14">
        <xdr:graphicFrame macro="">
          <xdr:nvGraphicFramePr>
            <xdr:cNvPr id="46" name="Category 1">
              <a:extLst>
                <a:ext uri="{FF2B5EF4-FFF2-40B4-BE49-F238E27FC236}">
                  <a16:creationId xmlns:a16="http://schemas.microsoft.com/office/drawing/2014/main" id="{699CABB7-02C8-4F56-B967-603B525A90A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2292" y="3453312"/>
              <a:ext cx="1978634" cy="1992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113614</xdr:colOff>
      <xdr:row>29</xdr:row>
      <xdr:rowOff>15272</xdr:rowOff>
    </xdr:from>
    <xdr:to>
      <xdr:col>3</xdr:col>
      <xdr:colOff>381000</xdr:colOff>
      <xdr:row>36</xdr:row>
      <xdr:rowOff>34511</xdr:rowOff>
    </xdr:to>
    <mc:AlternateContent xmlns:mc="http://schemas.openxmlformats.org/markup-compatibility/2006" xmlns:a14="http://schemas.microsoft.com/office/drawing/2010/main">
      <mc:Choice Requires="a14">
        <xdr:graphicFrame macro="">
          <xdr:nvGraphicFramePr>
            <xdr:cNvPr id="47" name="Dining_Type 1">
              <a:extLst>
                <a:ext uri="{FF2B5EF4-FFF2-40B4-BE49-F238E27FC236}">
                  <a16:creationId xmlns:a16="http://schemas.microsoft.com/office/drawing/2014/main" id="{F4C1ECF2-1B30-4C5A-9E99-BEE596AF34F4}"/>
                </a:ext>
              </a:extLst>
            </xdr:cNvPr>
            <xdr:cNvGraphicFramePr/>
          </xdr:nvGraphicFramePr>
          <xdr:xfrm>
            <a:off x="0" y="0"/>
            <a:ext cx="0" cy="0"/>
          </xdr:xfrm>
          <a:graphic>
            <a:graphicData uri="http://schemas.microsoft.com/office/drawing/2010/slicer">
              <sle:slicer xmlns:sle="http://schemas.microsoft.com/office/drawing/2010/slicer" name="Dining_Type 1"/>
            </a:graphicData>
          </a:graphic>
        </xdr:graphicFrame>
      </mc:Choice>
      <mc:Fallback xmlns="">
        <xdr:sp macro="" textlink="">
          <xdr:nvSpPr>
            <xdr:cNvPr id="0" name=""/>
            <xdr:cNvSpPr>
              <a:spLocks noTextEdit="1"/>
            </xdr:cNvSpPr>
          </xdr:nvSpPr>
          <xdr:spPr>
            <a:xfrm>
              <a:off x="113614" y="5431448"/>
              <a:ext cx="2116357" cy="13265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34671</xdr:colOff>
      <xdr:row>7</xdr:row>
      <xdr:rowOff>97623</xdr:rowOff>
    </xdr:from>
    <xdr:to>
      <xdr:col>8</xdr:col>
      <xdr:colOff>233108</xdr:colOff>
      <xdr:row>13</xdr:row>
      <xdr:rowOff>77779</xdr:rowOff>
    </xdr:to>
    <xdr:sp macro="" textlink="">
      <xdr:nvSpPr>
        <xdr:cNvPr id="48" name="Rectangle: Rounded Corners 47">
          <a:extLst>
            <a:ext uri="{FF2B5EF4-FFF2-40B4-BE49-F238E27FC236}">
              <a16:creationId xmlns:a16="http://schemas.microsoft.com/office/drawing/2014/main" id="{3C233CBF-5C0D-4C85-98D0-0D64E5CAF06F}"/>
            </a:ext>
          </a:extLst>
        </xdr:cNvPr>
        <xdr:cNvSpPr/>
      </xdr:nvSpPr>
      <xdr:spPr>
        <a:xfrm>
          <a:off x="2465188" y="1419627"/>
          <a:ext cx="2628954" cy="111330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FF00"/>
            </a:solidFill>
          </a:endParaRPr>
        </a:p>
      </xdr:txBody>
    </xdr:sp>
    <xdr:clientData/>
  </xdr:twoCellAnchor>
  <xdr:twoCellAnchor>
    <xdr:from>
      <xdr:col>5</xdr:col>
      <xdr:colOff>33635</xdr:colOff>
      <xdr:row>10</xdr:row>
      <xdr:rowOff>62950</xdr:rowOff>
    </xdr:from>
    <xdr:to>
      <xdr:col>6</xdr:col>
      <xdr:colOff>394037</xdr:colOff>
      <xdr:row>12</xdr:row>
      <xdr:rowOff>89143</xdr:rowOff>
    </xdr:to>
    <xdr:sp macro="" textlink="'Povite table'!A43">
      <xdr:nvSpPr>
        <xdr:cNvPr id="49" name="TextBox 48">
          <a:extLst>
            <a:ext uri="{FF2B5EF4-FFF2-40B4-BE49-F238E27FC236}">
              <a16:creationId xmlns:a16="http://schemas.microsoft.com/office/drawing/2014/main" id="{EAD5C138-7210-4734-818C-EA65F61DD739}"/>
            </a:ext>
          </a:extLst>
        </xdr:cNvPr>
        <xdr:cNvSpPr txBox="1"/>
      </xdr:nvSpPr>
      <xdr:spPr>
        <a:xfrm>
          <a:off x="3106216" y="2008918"/>
          <a:ext cx="974918" cy="415386"/>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7EB7155-0867-4F0F-A6E5-B50EF658C6C8}" type="TxLink">
            <a:rPr lang="en-US" sz="2400" b="1" i="0" u="none" strike="noStrike">
              <a:solidFill>
                <a:srgbClr val="000000"/>
              </a:solidFill>
              <a:latin typeface="Calibri"/>
              <a:ea typeface="Calibri"/>
              <a:cs typeface="Calibri"/>
            </a:rPr>
            <a:pPr/>
            <a:t>250</a:t>
          </a:fld>
          <a:endParaRPr lang="en-US" sz="23900" b="1" i="0">
            <a:solidFill>
              <a:schemeClr val="tx1"/>
            </a:solidFill>
          </a:endParaRPr>
        </a:p>
      </xdr:txBody>
    </xdr:sp>
    <xdr:clientData/>
  </xdr:twoCellAnchor>
  <xdr:twoCellAnchor>
    <xdr:from>
      <xdr:col>4</xdr:col>
      <xdr:colOff>163081</xdr:colOff>
      <xdr:row>7</xdr:row>
      <xdr:rowOff>140458</xdr:rowOff>
    </xdr:from>
    <xdr:to>
      <xdr:col>7</xdr:col>
      <xdr:colOff>361519</xdr:colOff>
      <xdr:row>9</xdr:row>
      <xdr:rowOff>156014</xdr:rowOff>
    </xdr:to>
    <xdr:sp macro="" textlink="">
      <xdr:nvSpPr>
        <xdr:cNvPr id="50" name="TextBox 49">
          <a:extLst>
            <a:ext uri="{FF2B5EF4-FFF2-40B4-BE49-F238E27FC236}">
              <a16:creationId xmlns:a16="http://schemas.microsoft.com/office/drawing/2014/main" id="{FBF5A4F0-9AB0-49C9-9ED7-5E81EA30F606}"/>
            </a:ext>
          </a:extLst>
        </xdr:cNvPr>
        <xdr:cNvSpPr txBox="1"/>
      </xdr:nvSpPr>
      <xdr:spPr>
        <a:xfrm>
          <a:off x="2593598" y="1462462"/>
          <a:ext cx="2021326" cy="393272"/>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b="1">
              <a:solidFill>
                <a:schemeClr val="tx1"/>
              </a:solidFill>
            </a:rPr>
            <a:t>Total orders</a:t>
          </a:r>
        </a:p>
      </xdr:txBody>
    </xdr:sp>
    <xdr:clientData/>
  </xdr:twoCellAnchor>
  <xdr:twoCellAnchor editAs="oneCell">
    <xdr:from>
      <xdr:col>7</xdr:col>
      <xdr:colOff>1</xdr:colOff>
      <xdr:row>9</xdr:row>
      <xdr:rowOff>141874</xdr:rowOff>
    </xdr:from>
    <xdr:to>
      <xdr:col>7</xdr:col>
      <xdr:colOff>599419</xdr:colOff>
      <xdr:row>12</xdr:row>
      <xdr:rowOff>151549</xdr:rowOff>
    </xdr:to>
    <xdr:pic>
      <xdr:nvPicPr>
        <xdr:cNvPr id="51" name="Graphic 50" descr="Receipt with solid fill">
          <a:extLst>
            <a:ext uri="{FF2B5EF4-FFF2-40B4-BE49-F238E27FC236}">
              <a16:creationId xmlns:a16="http://schemas.microsoft.com/office/drawing/2014/main" id="{BFA3E23C-8D24-4559-8F95-6DD2C3EF1FA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253406" y="1841594"/>
          <a:ext cx="599418" cy="576248"/>
        </a:xfrm>
        <a:prstGeom prst="rect">
          <a:avLst/>
        </a:prstGeom>
      </xdr:spPr>
    </xdr:pic>
    <xdr:clientData/>
  </xdr:twoCellAnchor>
  <xdr:twoCellAnchor>
    <xdr:from>
      <xdr:col>8</xdr:col>
      <xdr:colOff>402113</xdr:colOff>
      <xdr:row>7</xdr:row>
      <xdr:rowOff>122038</xdr:rowOff>
    </xdr:from>
    <xdr:to>
      <xdr:col>13</xdr:col>
      <xdr:colOff>203676</xdr:colOff>
      <xdr:row>13</xdr:row>
      <xdr:rowOff>24633</xdr:rowOff>
    </xdr:to>
    <xdr:sp macro="" textlink="">
      <xdr:nvSpPr>
        <xdr:cNvPr id="68" name="Rectangle: Rounded Corners 67">
          <a:extLst>
            <a:ext uri="{FF2B5EF4-FFF2-40B4-BE49-F238E27FC236}">
              <a16:creationId xmlns:a16="http://schemas.microsoft.com/office/drawing/2014/main" id="{72120986-7285-4834-B19A-3F25E7C9A37A}"/>
            </a:ext>
          </a:extLst>
        </xdr:cNvPr>
        <xdr:cNvSpPr/>
      </xdr:nvSpPr>
      <xdr:spPr>
        <a:xfrm>
          <a:off x="5263147" y="1444042"/>
          <a:ext cx="2839710" cy="1035742"/>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539483</xdr:colOff>
      <xdr:row>10</xdr:row>
      <xdr:rowOff>86212</xdr:rowOff>
    </xdr:from>
    <xdr:to>
      <xdr:col>11</xdr:col>
      <xdr:colOff>23016</xdr:colOff>
      <xdr:row>12</xdr:row>
      <xdr:rowOff>87964</xdr:rowOff>
    </xdr:to>
    <xdr:sp macro="" textlink="'Povite table'!C43">
      <xdr:nvSpPr>
        <xdr:cNvPr id="69" name="TextBox 68">
          <a:extLst>
            <a:ext uri="{FF2B5EF4-FFF2-40B4-BE49-F238E27FC236}">
              <a16:creationId xmlns:a16="http://schemas.microsoft.com/office/drawing/2014/main" id="{1CE3284B-3698-40A6-8819-8C0F018FB87E}"/>
            </a:ext>
          </a:extLst>
        </xdr:cNvPr>
        <xdr:cNvSpPr txBox="1"/>
      </xdr:nvSpPr>
      <xdr:spPr>
        <a:xfrm>
          <a:off x="6038823" y="2063099"/>
          <a:ext cx="705608" cy="397129"/>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B5E2C53-060F-4253-8A5D-ABA6E66A4F93}" type="TxLink">
            <a:rPr lang="en-US" sz="2400" b="1" i="0" u="none" strike="noStrike">
              <a:solidFill>
                <a:srgbClr val="000000"/>
              </a:solidFill>
              <a:latin typeface="Calibri"/>
              <a:ea typeface="Calibri"/>
              <a:cs typeface="Calibri"/>
            </a:rPr>
            <a:pPr/>
            <a:t>100</a:t>
          </a:fld>
          <a:endParaRPr lang="en-US" sz="8800" b="1">
            <a:solidFill>
              <a:schemeClr val="tx1"/>
            </a:solidFill>
          </a:endParaRPr>
        </a:p>
      </xdr:txBody>
    </xdr:sp>
    <xdr:clientData/>
  </xdr:twoCellAnchor>
  <xdr:twoCellAnchor>
    <xdr:from>
      <xdr:col>8</xdr:col>
      <xdr:colOff>479126</xdr:colOff>
      <xdr:row>7</xdr:row>
      <xdr:rowOff>169009</xdr:rowOff>
    </xdr:from>
    <xdr:to>
      <xdr:col>12</xdr:col>
      <xdr:colOff>206340</xdr:colOff>
      <xdr:row>10</xdr:row>
      <xdr:rowOff>56364</xdr:rowOff>
    </xdr:to>
    <xdr:sp macro="" textlink="">
      <xdr:nvSpPr>
        <xdr:cNvPr id="70" name="TextBox 69">
          <a:extLst>
            <a:ext uri="{FF2B5EF4-FFF2-40B4-BE49-F238E27FC236}">
              <a16:creationId xmlns:a16="http://schemas.microsoft.com/office/drawing/2014/main" id="{2D171B48-8A13-44C1-A973-1583E559507B}"/>
            </a:ext>
          </a:extLst>
        </xdr:cNvPr>
        <xdr:cNvSpPr txBox="1"/>
      </xdr:nvSpPr>
      <xdr:spPr>
        <a:xfrm>
          <a:off x="5409714" y="1476362"/>
          <a:ext cx="2192508" cy="447649"/>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b="1">
              <a:solidFill>
                <a:schemeClr val="tx1"/>
              </a:solidFill>
            </a:rPr>
            <a:t>Unique Orders</a:t>
          </a:r>
        </a:p>
      </xdr:txBody>
    </xdr:sp>
    <xdr:clientData/>
  </xdr:twoCellAnchor>
  <xdr:twoCellAnchor editAs="oneCell">
    <xdr:from>
      <xdr:col>11</xdr:col>
      <xdr:colOff>607108</xdr:colOff>
      <xdr:row>9</xdr:row>
      <xdr:rowOff>179457</xdr:rowOff>
    </xdr:from>
    <xdr:to>
      <xdr:col>13</xdr:col>
      <xdr:colOff>85705</xdr:colOff>
      <xdr:row>13</xdr:row>
      <xdr:rowOff>68656</xdr:rowOff>
    </xdr:to>
    <xdr:pic>
      <xdr:nvPicPr>
        <xdr:cNvPr id="71" name="Graphic 70" descr="Presentation with bar chart with solid fill">
          <a:extLst>
            <a:ext uri="{FF2B5EF4-FFF2-40B4-BE49-F238E27FC236}">
              <a16:creationId xmlns:a16="http://schemas.microsoft.com/office/drawing/2014/main" id="{5A0D2086-8AC1-43C6-8DB9-0EACF2F4BEA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288412" y="1918805"/>
          <a:ext cx="693380" cy="662242"/>
        </a:xfrm>
        <a:prstGeom prst="rect">
          <a:avLst/>
        </a:prstGeom>
      </xdr:spPr>
    </xdr:pic>
    <xdr:clientData/>
  </xdr:twoCellAnchor>
  <xdr:twoCellAnchor>
    <xdr:from>
      <xdr:col>13</xdr:col>
      <xdr:colOff>393887</xdr:colOff>
      <xdr:row>7</xdr:row>
      <xdr:rowOff>136559</xdr:rowOff>
    </xdr:from>
    <xdr:to>
      <xdr:col>17</xdr:col>
      <xdr:colOff>437225</xdr:colOff>
      <xdr:row>13</xdr:row>
      <xdr:rowOff>55359</xdr:rowOff>
    </xdr:to>
    <xdr:sp macro="" textlink="">
      <xdr:nvSpPr>
        <xdr:cNvPr id="72" name="Rectangle: Rounded Corners 71">
          <a:extLst>
            <a:ext uri="{FF2B5EF4-FFF2-40B4-BE49-F238E27FC236}">
              <a16:creationId xmlns:a16="http://schemas.microsoft.com/office/drawing/2014/main" id="{BB617EF8-BC80-487B-948D-26604806C5BD}"/>
            </a:ext>
          </a:extLst>
        </xdr:cNvPr>
        <xdr:cNvSpPr/>
      </xdr:nvSpPr>
      <xdr:spPr>
        <a:xfrm>
          <a:off x="8382597" y="1498736"/>
          <a:ext cx="2501402" cy="1086381"/>
        </a:xfrm>
        <a:prstGeom prst="round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150154</xdr:colOff>
      <xdr:row>10</xdr:row>
      <xdr:rowOff>60723</xdr:rowOff>
    </xdr:from>
    <xdr:to>
      <xdr:col>16</xdr:col>
      <xdr:colOff>290181</xdr:colOff>
      <xdr:row>12</xdr:row>
      <xdr:rowOff>151807</xdr:rowOff>
    </xdr:to>
    <xdr:sp macro="" textlink="'Povite table'!D43">
      <xdr:nvSpPr>
        <xdr:cNvPr id="73" name="TextBox 72">
          <a:extLst>
            <a:ext uri="{FF2B5EF4-FFF2-40B4-BE49-F238E27FC236}">
              <a16:creationId xmlns:a16="http://schemas.microsoft.com/office/drawing/2014/main" id="{2FB4FE17-6192-461E-97D3-4FA359D6C655}"/>
            </a:ext>
          </a:extLst>
        </xdr:cNvPr>
        <xdr:cNvSpPr txBox="1"/>
      </xdr:nvSpPr>
      <xdr:spPr>
        <a:xfrm>
          <a:off x="8656964" y="1949301"/>
          <a:ext cx="1355286" cy="468799"/>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8C4555-5775-424D-A077-41DF0E3923CE}" type="TxLink">
            <a:rPr lang="en-US" sz="2400" b="1" i="0" u="none" strike="noStrike">
              <a:solidFill>
                <a:srgbClr val="000000"/>
              </a:solidFill>
              <a:latin typeface="Calibri"/>
              <a:ea typeface="Calibri"/>
              <a:cs typeface="Calibri"/>
            </a:rPr>
            <a:pPr/>
            <a:t>90,450.0 </a:t>
          </a:fld>
          <a:endParaRPr lang="en-US" sz="8800" b="1">
            <a:solidFill>
              <a:schemeClr val="tx1"/>
            </a:solidFill>
          </a:endParaRPr>
        </a:p>
      </xdr:txBody>
    </xdr:sp>
    <xdr:clientData/>
  </xdr:twoCellAnchor>
  <xdr:twoCellAnchor>
    <xdr:from>
      <xdr:col>13</xdr:col>
      <xdr:colOff>486489</xdr:colOff>
      <xdr:row>7</xdr:row>
      <xdr:rowOff>160979</xdr:rowOff>
    </xdr:from>
    <xdr:to>
      <xdr:col>17</xdr:col>
      <xdr:colOff>108929</xdr:colOff>
      <xdr:row>9</xdr:row>
      <xdr:rowOff>186379</xdr:rowOff>
    </xdr:to>
    <xdr:sp macro="" textlink="">
      <xdr:nvSpPr>
        <xdr:cNvPr id="74" name="TextBox 73">
          <a:extLst>
            <a:ext uri="{FF2B5EF4-FFF2-40B4-BE49-F238E27FC236}">
              <a16:creationId xmlns:a16="http://schemas.microsoft.com/office/drawing/2014/main" id="{AF7DD1B9-C53B-48E4-8DD4-F7F2DB4B3303}"/>
            </a:ext>
          </a:extLst>
        </xdr:cNvPr>
        <xdr:cNvSpPr txBox="1"/>
      </xdr:nvSpPr>
      <xdr:spPr>
        <a:xfrm>
          <a:off x="8390212" y="1508665"/>
          <a:ext cx="2054355" cy="410453"/>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b="1">
              <a:solidFill>
                <a:schemeClr val="tx1"/>
              </a:solidFill>
            </a:rPr>
            <a:t>Total Amount</a:t>
          </a:r>
        </a:p>
      </xdr:txBody>
    </xdr:sp>
    <xdr:clientData/>
  </xdr:twoCellAnchor>
  <xdr:twoCellAnchor editAs="oneCell">
    <xdr:from>
      <xdr:col>16</xdr:col>
      <xdr:colOff>292105</xdr:colOff>
      <xdr:row>9</xdr:row>
      <xdr:rowOff>147179</xdr:rowOff>
    </xdr:from>
    <xdr:to>
      <xdr:col>17</xdr:col>
      <xdr:colOff>388704</xdr:colOff>
      <xdr:row>13</xdr:row>
      <xdr:rowOff>64155</xdr:rowOff>
    </xdr:to>
    <xdr:pic>
      <xdr:nvPicPr>
        <xdr:cNvPr id="75" name="Graphic 74" descr="Tax with solid fill">
          <a:extLst>
            <a:ext uri="{FF2B5EF4-FFF2-40B4-BE49-F238E27FC236}">
              <a16:creationId xmlns:a16="http://schemas.microsoft.com/office/drawing/2014/main" id="{6A71E729-12B9-46CE-8EB5-E3CB1CB4DA7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019765" y="1879918"/>
          <a:ext cx="704577" cy="687083"/>
        </a:xfrm>
        <a:prstGeom prst="rect">
          <a:avLst/>
        </a:prstGeom>
      </xdr:spPr>
    </xdr:pic>
    <xdr:clientData/>
  </xdr:twoCellAnchor>
  <xdr:twoCellAnchor>
    <xdr:from>
      <xdr:col>6</xdr:col>
      <xdr:colOff>109313</xdr:colOff>
      <xdr:row>2</xdr:row>
      <xdr:rowOff>0</xdr:rowOff>
    </xdr:from>
    <xdr:to>
      <xdr:col>16</xdr:col>
      <xdr:colOff>350922</xdr:colOff>
      <xdr:row>5</xdr:row>
      <xdr:rowOff>25065</xdr:rowOff>
    </xdr:to>
    <xdr:sp macro="" textlink="">
      <xdr:nvSpPr>
        <xdr:cNvPr id="76" name="TextBox 75">
          <a:extLst>
            <a:ext uri="{FF2B5EF4-FFF2-40B4-BE49-F238E27FC236}">
              <a16:creationId xmlns:a16="http://schemas.microsoft.com/office/drawing/2014/main" id="{6E84F545-A27E-0064-2ABF-6D6986270698}"/>
            </a:ext>
          </a:extLst>
        </xdr:cNvPr>
        <xdr:cNvSpPr txBox="1"/>
      </xdr:nvSpPr>
      <xdr:spPr>
        <a:xfrm>
          <a:off x="3718787" y="401053"/>
          <a:ext cx="6257398" cy="626644"/>
        </a:xfrm>
        <a:prstGeom prst="rect">
          <a:avLst/>
        </a:prstGeom>
        <a:solidFill>
          <a:srgbClr val="0070C0"/>
        </a:solidFill>
        <a:ln w="9525" cmpd="sng">
          <a:solidFill>
            <a:srgbClr val="0070C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200" b="1">
              <a:solidFill>
                <a:schemeClr val="bg1"/>
              </a:solidFill>
              <a:effectLst/>
              <a:latin typeface="+mn-lt"/>
              <a:ea typeface="+mn-ea"/>
              <a:cs typeface="+mn-cs"/>
            </a:rPr>
            <a:t>RESTAURANT</a:t>
          </a:r>
          <a:r>
            <a:rPr lang="en-US" sz="3200" b="1" baseline="0">
              <a:solidFill>
                <a:schemeClr val="bg1"/>
              </a:solidFill>
              <a:effectLst/>
              <a:latin typeface="+mn-lt"/>
              <a:ea typeface="+mn-ea"/>
              <a:cs typeface="+mn-cs"/>
            </a:rPr>
            <a:t> SALES DASHBOARD</a:t>
          </a:r>
          <a:endParaRPr lang="en-US" sz="3200">
            <a:solidFill>
              <a:schemeClr val="bg1"/>
            </a:solidFill>
            <a:effectLst/>
          </a:endParaRPr>
        </a:p>
        <a:p>
          <a:endParaRPr lang="en-US" sz="1100"/>
        </a:p>
      </xdr:txBody>
    </xdr:sp>
    <xdr:clientData/>
  </xdr:twoCellAnchor>
  <xdr:twoCellAnchor>
    <xdr:from>
      <xdr:col>17</xdr:col>
      <xdr:colOff>590297</xdr:colOff>
      <xdr:row>7</xdr:row>
      <xdr:rowOff>109027</xdr:rowOff>
    </xdr:from>
    <xdr:to>
      <xdr:col>22</xdr:col>
      <xdr:colOff>8211</xdr:colOff>
      <xdr:row>13</xdr:row>
      <xdr:rowOff>49267</xdr:rowOff>
    </xdr:to>
    <xdr:sp macro="" textlink="">
      <xdr:nvSpPr>
        <xdr:cNvPr id="77" name="Rectangle: Rounded Corners 76">
          <a:extLst>
            <a:ext uri="{FF2B5EF4-FFF2-40B4-BE49-F238E27FC236}">
              <a16:creationId xmlns:a16="http://schemas.microsoft.com/office/drawing/2014/main" id="{5991D246-6623-473B-9487-39808AD63B0A}"/>
            </a:ext>
          </a:extLst>
        </xdr:cNvPr>
        <xdr:cNvSpPr/>
      </xdr:nvSpPr>
      <xdr:spPr>
        <a:xfrm>
          <a:off x="10919995" y="1431031"/>
          <a:ext cx="2456061" cy="107338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219443</xdr:colOff>
      <xdr:row>68</xdr:row>
      <xdr:rowOff>175934</xdr:rowOff>
    </xdr:from>
    <xdr:to>
      <xdr:col>6</xdr:col>
      <xdr:colOff>165528</xdr:colOff>
      <xdr:row>74</xdr:row>
      <xdr:rowOff>157962</xdr:rowOff>
    </xdr:to>
    <xdr:pic>
      <xdr:nvPicPr>
        <xdr:cNvPr id="85" name="Graphic 84" descr="Database with solid fill">
          <a:hlinkClick xmlns:r="http://schemas.openxmlformats.org/officeDocument/2006/relationships" r:id="rId13"/>
          <a:extLst>
            <a:ext uri="{FF2B5EF4-FFF2-40B4-BE49-F238E27FC236}">
              <a16:creationId xmlns:a16="http://schemas.microsoft.com/office/drawing/2014/main" id="{C118FDC6-5F97-1C57-54DD-83505398BB0F}"/>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625759" y="13811723"/>
          <a:ext cx="1149243" cy="1185186"/>
        </a:xfrm>
        <a:prstGeom prst="rect">
          <a:avLst/>
        </a:prstGeom>
      </xdr:spPr>
    </xdr:pic>
    <xdr:clientData/>
  </xdr:twoCellAnchor>
  <mc:AlternateContent xmlns:mc="http://schemas.openxmlformats.org/markup-compatibility/2006">
    <mc:Choice xmlns:a14="http://schemas.microsoft.com/office/drawing/2010/main" Requires="a14">
      <xdr:twoCellAnchor>
        <xdr:from>
          <xdr:col>18</xdr:col>
          <xdr:colOff>38100</xdr:colOff>
          <xdr:row>70</xdr:row>
          <xdr:rowOff>28575</xdr:rowOff>
        </xdr:from>
        <xdr:to>
          <xdr:col>21</xdr:col>
          <xdr:colOff>561975</xdr:colOff>
          <xdr:row>73</xdr:row>
          <xdr:rowOff>161925</xdr:rowOff>
        </xdr:to>
        <xdr:sp macro="" textlink="">
          <xdr:nvSpPr>
            <xdr:cNvPr id="4105" name="Button 9" hidden="1">
              <a:extLst>
                <a:ext uri="{63B3BB69-23CF-44E3-9099-C40C66FF867C}">
                  <a14:compatExt spid="_x0000_s4105"/>
                </a:ext>
                <a:ext uri="{FF2B5EF4-FFF2-40B4-BE49-F238E27FC236}">
                  <a16:creationId xmlns:a16="http://schemas.microsoft.com/office/drawing/2014/main" id="{00000000-0008-0000-0700-000009100000}"/>
                </a:ext>
              </a:extLst>
            </xdr:cNvPr>
            <xdr:cNvSpPr/>
          </xdr:nvSpPr>
          <xdr:spPr bwMode="auto">
            <a:xfrm>
              <a:off x="0" y="0"/>
              <a:ext cx="0" cy="0"/>
            </a:xfrm>
            <a:prstGeom prst="rect">
              <a:avLst/>
            </a:prstGeom>
            <a:noFill/>
            <a:ln w="9525">
              <a:miter lim="800000"/>
              <a:headEnd/>
              <a:tailEnd/>
            </a:ln>
          </xdr:spPr>
          <xdr:txBody>
            <a:bodyPr vertOverflow="clip" wrap="square" lIns="45720" tIns="50292" rIns="45720" bIns="50292" anchor="ctr" upright="1"/>
            <a:lstStyle/>
            <a:p>
              <a:pPr algn="ctr" rtl="0">
                <a:defRPr sz="1000"/>
              </a:pPr>
              <a:r>
                <a:rPr lang="en-US" sz="2400" b="1" i="0" u="none" strike="noStrike" baseline="0">
                  <a:solidFill>
                    <a:srgbClr val="000000"/>
                  </a:solidFill>
                  <a:latin typeface="Calibri"/>
                  <a:ea typeface="Calibri"/>
                  <a:cs typeface="Calibri"/>
                </a:rPr>
                <a:t>Waiters Details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466725</xdr:colOff>
          <xdr:row>70</xdr:row>
          <xdr:rowOff>28575</xdr:rowOff>
        </xdr:from>
        <xdr:to>
          <xdr:col>17</xdr:col>
          <xdr:colOff>19050</xdr:colOff>
          <xdr:row>74</xdr:row>
          <xdr:rowOff>9525</xdr:rowOff>
        </xdr:to>
        <xdr:sp macro="" textlink="">
          <xdr:nvSpPr>
            <xdr:cNvPr id="4106" name="Button 10" hidden="1">
              <a:extLst>
                <a:ext uri="{63B3BB69-23CF-44E3-9099-C40C66FF867C}">
                  <a14:compatExt spid="_x0000_s4106"/>
                </a:ext>
                <a:ext uri="{FF2B5EF4-FFF2-40B4-BE49-F238E27FC236}">
                  <a16:creationId xmlns:a16="http://schemas.microsoft.com/office/drawing/2014/main" id="{00000000-0008-0000-0700-00000A100000}"/>
                </a:ext>
              </a:extLst>
            </xdr:cNvPr>
            <xdr:cNvSpPr/>
          </xdr:nvSpPr>
          <xdr:spPr bwMode="auto">
            <a:xfrm>
              <a:off x="0" y="0"/>
              <a:ext cx="0" cy="0"/>
            </a:xfrm>
            <a:prstGeom prst="rect">
              <a:avLst/>
            </a:prstGeom>
            <a:noFill/>
            <a:ln w="9525">
              <a:miter lim="800000"/>
              <a:headEnd/>
              <a:tailEnd/>
            </a:ln>
          </xdr:spPr>
          <xdr:txBody>
            <a:bodyPr vertOverflow="clip" wrap="square" lIns="45720" tIns="50292" rIns="45720" bIns="50292" anchor="ctr" upright="1"/>
            <a:lstStyle/>
            <a:p>
              <a:pPr algn="ctr" rtl="0">
                <a:defRPr sz="1000"/>
              </a:pPr>
              <a:r>
                <a:rPr lang="en-US" sz="2400" b="1" i="0" u="none" strike="noStrike" baseline="0">
                  <a:solidFill>
                    <a:srgbClr val="000000"/>
                  </a:solidFill>
                  <a:latin typeface="Calibri"/>
                  <a:ea typeface="Calibri"/>
                  <a:cs typeface="Calibri"/>
                </a:rPr>
                <a:t>Menu_Items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561975</xdr:colOff>
          <xdr:row>70</xdr:row>
          <xdr:rowOff>28575</xdr:rowOff>
        </xdr:from>
        <xdr:to>
          <xdr:col>11</xdr:col>
          <xdr:colOff>485775</xdr:colOff>
          <xdr:row>73</xdr:row>
          <xdr:rowOff>171450</xdr:rowOff>
        </xdr:to>
        <xdr:sp macro="" textlink="">
          <xdr:nvSpPr>
            <xdr:cNvPr id="4107" name="Button 11" hidden="1">
              <a:extLst>
                <a:ext uri="{63B3BB69-23CF-44E3-9099-C40C66FF867C}">
                  <a14:compatExt spid="_x0000_s4107"/>
                </a:ext>
                <a:ext uri="{FF2B5EF4-FFF2-40B4-BE49-F238E27FC236}">
                  <a16:creationId xmlns:a16="http://schemas.microsoft.com/office/drawing/2014/main" id="{00000000-0008-0000-0700-00000B100000}"/>
                </a:ext>
              </a:extLst>
            </xdr:cNvPr>
            <xdr:cNvSpPr/>
          </xdr:nvSpPr>
          <xdr:spPr bwMode="auto">
            <a:xfrm>
              <a:off x="0" y="0"/>
              <a:ext cx="0" cy="0"/>
            </a:xfrm>
            <a:prstGeom prst="rect">
              <a:avLst/>
            </a:prstGeom>
            <a:noFill/>
            <a:ln w="9525">
              <a:miter lim="800000"/>
              <a:headEnd/>
              <a:tailEnd/>
            </a:ln>
          </xdr:spPr>
          <xdr:txBody>
            <a:bodyPr vertOverflow="clip" wrap="square" lIns="45720" tIns="50292" rIns="45720" bIns="50292" anchor="ctr" upright="1"/>
            <a:lstStyle/>
            <a:p>
              <a:pPr algn="ctr" rtl="0">
                <a:defRPr sz="1000"/>
              </a:pPr>
              <a:r>
                <a:rPr lang="en-US" sz="2400" b="1" i="0" u="none" strike="noStrike" baseline="0">
                  <a:solidFill>
                    <a:srgbClr val="000000"/>
                  </a:solidFill>
                  <a:latin typeface="Calibri"/>
                  <a:ea typeface="Calibri"/>
                  <a:cs typeface="Calibri"/>
                </a:rPr>
                <a:t>TASKS</a:t>
              </a:r>
            </a:p>
          </xdr:txBody>
        </xdr:sp>
        <xdr:clientData fPrintsWithSheet="0"/>
      </xdr:twoCellAnchor>
    </mc:Choice>
    <mc:Fallback/>
  </mc:AlternateContent>
  <xdr:twoCellAnchor editAs="oneCell">
    <xdr:from>
      <xdr:col>1</xdr:col>
      <xdr:colOff>348082</xdr:colOff>
      <xdr:row>68</xdr:row>
      <xdr:rowOff>179717</xdr:rowOff>
    </xdr:from>
    <xdr:to>
      <xdr:col>3</xdr:col>
      <xdr:colOff>222281</xdr:colOff>
      <xdr:row>74</xdr:row>
      <xdr:rowOff>89859</xdr:rowOff>
    </xdr:to>
    <xdr:pic>
      <xdr:nvPicPr>
        <xdr:cNvPr id="10" name="Graphic 9" descr="House with solid fill">
          <a:hlinkClick xmlns:r="http://schemas.openxmlformats.org/officeDocument/2006/relationships" r:id="rId16"/>
          <a:extLst>
            <a:ext uri="{FF2B5EF4-FFF2-40B4-BE49-F238E27FC236}">
              <a16:creationId xmlns:a16="http://schemas.microsoft.com/office/drawing/2014/main" id="{3B5234AE-A5FE-66FF-C050-6E32872F4D99}"/>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49661" y="13815506"/>
          <a:ext cx="1077357" cy="1113300"/>
        </a:xfrm>
        <a:prstGeom prst="rect">
          <a:avLst/>
        </a:prstGeom>
      </xdr:spPr>
    </xdr:pic>
    <xdr:clientData/>
  </xdr:twoCellAnchor>
  <xdr:twoCellAnchor>
    <xdr:from>
      <xdr:col>31</xdr:col>
      <xdr:colOff>300789</xdr:colOff>
      <xdr:row>23</xdr:row>
      <xdr:rowOff>0</xdr:rowOff>
    </xdr:from>
    <xdr:to>
      <xdr:col>35</xdr:col>
      <xdr:colOff>200526</xdr:colOff>
      <xdr:row>28</xdr:row>
      <xdr:rowOff>0</xdr:rowOff>
    </xdr:to>
    <xdr:sp macro="" textlink="">
      <xdr:nvSpPr>
        <xdr:cNvPr id="13" name="TextBox 12">
          <a:extLst>
            <a:ext uri="{FF2B5EF4-FFF2-40B4-BE49-F238E27FC236}">
              <a16:creationId xmlns:a16="http://schemas.microsoft.com/office/drawing/2014/main" id="{C5C3FCE9-0EB1-4684-866D-476D4F04D220}"/>
            </a:ext>
          </a:extLst>
        </xdr:cNvPr>
        <xdr:cNvSpPr txBox="1"/>
      </xdr:nvSpPr>
      <xdr:spPr>
        <a:xfrm>
          <a:off x="18949736" y="4612105"/>
          <a:ext cx="2306053" cy="1002632"/>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i="0">
            <a:solidFill>
              <a:schemeClr val="tx1"/>
            </a:solidFill>
          </a:endParaRPr>
        </a:p>
      </xdr:txBody>
    </xdr:sp>
    <xdr:clientData/>
  </xdr:twoCellAnchor>
  <xdr:twoCellAnchor>
    <xdr:from>
      <xdr:col>19</xdr:col>
      <xdr:colOff>170707</xdr:colOff>
      <xdr:row>10</xdr:row>
      <xdr:rowOff>100683</xdr:rowOff>
    </xdr:from>
    <xdr:to>
      <xdr:col>20</xdr:col>
      <xdr:colOff>240860</xdr:colOff>
      <xdr:row>12</xdr:row>
      <xdr:rowOff>76660</xdr:rowOff>
    </xdr:to>
    <xdr:sp macro="" textlink="'Povite table'!B43">
      <xdr:nvSpPr>
        <xdr:cNvPr id="9" name="TextBox 8">
          <a:extLst>
            <a:ext uri="{FF2B5EF4-FFF2-40B4-BE49-F238E27FC236}">
              <a16:creationId xmlns:a16="http://schemas.microsoft.com/office/drawing/2014/main" id="{1D5BB0F2-D1E4-4B30-88D0-24B9A746440F}"/>
            </a:ext>
          </a:extLst>
        </xdr:cNvPr>
        <xdr:cNvSpPr txBox="1"/>
      </xdr:nvSpPr>
      <xdr:spPr>
        <a:xfrm>
          <a:off x="11715664" y="1989261"/>
          <a:ext cx="677782" cy="353692"/>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D4A5FC6-B57E-4D6F-8D48-16644C6840C4}" type="TxLink">
            <a:rPr lang="en-US" sz="2400" b="1" i="0" u="none" strike="noStrike">
              <a:solidFill>
                <a:srgbClr val="000000"/>
              </a:solidFill>
              <a:latin typeface="Calibri"/>
              <a:ea typeface="Calibri"/>
              <a:cs typeface="Calibri"/>
            </a:rPr>
            <a:pPr/>
            <a:t>450</a:t>
          </a:fld>
          <a:endParaRPr lang="en-US" sz="8800" b="1">
            <a:solidFill>
              <a:schemeClr val="tx1"/>
            </a:solidFill>
          </a:endParaRPr>
        </a:p>
      </xdr:txBody>
    </xdr:sp>
    <xdr:clientData/>
  </xdr:twoCellAnchor>
  <xdr:twoCellAnchor>
    <xdr:from>
      <xdr:col>18</xdr:col>
      <xdr:colOff>114047</xdr:colOff>
      <xdr:row>7</xdr:row>
      <xdr:rowOff>150083</xdr:rowOff>
    </xdr:from>
    <xdr:to>
      <xdr:col>21</xdr:col>
      <xdr:colOff>156013</xdr:colOff>
      <xdr:row>10</xdr:row>
      <xdr:rowOff>57824</xdr:rowOff>
    </xdr:to>
    <xdr:sp macro="" textlink="">
      <xdr:nvSpPr>
        <xdr:cNvPr id="11" name="TextBox 10">
          <a:extLst>
            <a:ext uri="{FF2B5EF4-FFF2-40B4-BE49-F238E27FC236}">
              <a16:creationId xmlns:a16="http://schemas.microsoft.com/office/drawing/2014/main" id="{2E9AFC74-26D1-4DCD-8AE7-7E98CDA7023D}"/>
            </a:ext>
          </a:extLst>
        </xdr:cNvPr>
        <xdr:cNvSpPr txBox="1"/>
      </xdr:nvSpPr>
      <xdr:spPr>
        <a:xfrm>
          <a:off x="11051375" y="1472087"/>
          <a:ext cx="1864854" cy="47431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500" b="1">
              <a:solidFill>
                <a:schemeClr val="tx1"/>
              </a:solidFill>
            </a:rPr>
            <a:t>Quntity sold</a:t>
          </a:r>
        </a:p>
      </xdr:txBody>
    </xdr:sp>
    <xdr:clientData/>
  </xdr:twoCellAnchor>
  <xdr:twoCellAnchor editAs="oneCell">
    <xdr:from>
      <xdr:col>20</xdr:col>
      <xdr:colOff>526548</xdr:colOff>
      <xdr:row>9</xdr:row>
      <xdr:rowOff>181222</xdr:rowOff>
    </xdr:from>
    <xdr:to>
      <xdr:col>21</xdr:col>
      <xdr:colOff>505446</xdr:colOff>
      <xdr:row>12</xdr:row>
      <xdr:rowOff>174607</xdr:rowOff>
    </xdr:to>
    <xdr:pic>
      <xdr:nvPicPr>
        <xdr:cNvPr id="12" name="Graphic 11" descr="Shopping cart with solid fill">
          <a:extLst>
            <a:ext uri="{FF2B5EF4-FFF2-40B4-BE49-F238E27FC236}">
              <a16:creationId xmlns:a16="http://schemas.microsoft.com/office/drawing/2014/main" id="{6F3E5ADF-D6D9-4B47-9A3B-76C0D8D5951F}"/>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2679134" y="1880942"/>
          <a:ext cx="586528" cy="55995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kotra" refreshedDate="46203.420999189817" backgroundQuery="1" createdVersion="8" refreshedVersion="8" minRefreshableVersion="3" recordCount="0" supportSubquery="1" supportAdvancedDrill="1" xr:uid="{7D20F637-AE57-4CD5-B1F0-8FA24E48416D}">
  <cacheSource type="external" connectionId="1"/>
  <cacheFields count="2">
    <cacheField name="[Table2].[Branch_Name].[Branch_Name]" caption="Branch_Name" numFmtId="0" hierarchy="8" level="1">
      <sharedItems count="5">
        <s v="Food Fiesta"/>
        <s v="Paradise Restaurant"/>
        <s v="Royal Dine"/>
        <s v="Spice Hub"/>
        <s v="Urban Kitchen"/>
      </sharedItems>
    </cacheField>
    <cacheField name="[Measures].[Sum of Sales_Amount]" caption="Sum of Sales_Amount" numFmtId="0" hierarchy="31" level="32767"/>
  </cacheFields>
  <cacheHierarchies count="43">
    <cacheHierarchy uniqueName="[Table1].[Detail_ID]" caption="Detail_ID" attribute="1" defaultMemberUniqueName="[Table1].[Detail_ID].[All]" allUniqueName="[Table1].[Detail_ID].[All]" dimensionUniqueName="[Table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Item_ID]" caption="Item_ID" attribute="1" defaultMemberUniqueName="[Table1].[Item_ID].[All]" allUniqueName="[Table1].[Item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2].[Branch_ID]" caption="Branch_ID" attribute="1" defaultMemberUniqueName="[Table2].[Branch_ID].[All]" allUniqueName="[Table2].[Branch_ID].[All]" dimensionUniqueName="[Table2]" displayFolder="" count="0" memberValueDatatype="130" unbalanced="0"/>
    <cacheHierarchy uniqueName="[Table2].[Branch_Name]" caption="Branch_Name" attribute="1" defaultMemberUniqueName="[Table2].[Branch_Name].[All]" allUniqueName="[Table2].[Branch_Name].[All]" dimensionUniqueName="[Table2]" displayFolder="" count="2" memberValueDatatype="130" unbalanced="0">
      <fieldsUsage count="2">
        <fieldUsage x="-1"/>
        <fieldUsage x="0"/>
      </fieldsUsage>
    </cacheHierarchy>
    <cacheHierarchy uniqueName="[Table2].[City]" caption="City" attribute="1" defaultMemberUniqueName="[Table2].[City].[All]" allUniqueName="[Table2].[City].[All]" dimensionUniqueName="[Table2]" displayFolder="" count="0" memberValueDatatype="130" unbalanced="0"/>
    <cacheHierarchy uniqueName="[Table3].[Order_ID]" caption="Order_ID" attribute="1" defaultMemberUniqueName="[Table3].[Order_ID].[All]" allUniqueName="[Table3].[Order_ID].[All]" dimensionUniqueName="[Table3]" displayFolder="" count="0" memberValueDatatype="2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Order_Date]" caption="Order_Date" attribute="1" time="1" defaultMemberUniqueName="[Table3].[Order_Date].[All]" allUniqueName="[Table3].[Order_Date].[All]" dimensionUniqueName="[Table3]" displayFolder="" count="0" memberValueDatatype="7" unbalanced="0"/>
    <cacheHierarchy uniqueName="[Table3].[Branch_ID]" caption="Branch_ID" attribute="1" defaultMemberUniqueName="[Table3].[Branch_ID].[All]" allUniqueName="[Table3].[Branch_ID].[All]" dimensionUniqueName="[Table3]" displayFolder="" count="0" memberValueDatatype="130" unbalanced="0"/>
    <cacheHierarchy uniqueName="[Table3].[Waiter_ID]" caption="Waiter_ID" attribute="1" defaultMemberUniqueName="[Table3].[Waiter_ID].[All]" allUniqueName="[Table3].[Waiter_ID].[All]" dimensionUniqueName="[Table3]" displayFolder="" count="0" memberValueDatatype="130" unbalanced="0"/>
    <cacheHierarchy uniqueName="[Table3].[Payment_ID]" caption="Payment_ID" attribute="1" defaultMemberUniqueName="[Table3].[Payment_ID].[All]" allUniqueName="[Table3].[Payment_ID].[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Dining_Type]" caption="Dining_Type" attribute="1" defaultMemberUniqueName="[Table3].[Dining_Type].[All]" allUniqueName="[Table3].[Dining_Type].[All]" dimensionUniqueName="[Table3]" displayFolder="" count="2" memberValueDatatype="130" unbalanced="0"/>
    <cacheHierarchy uniqueName="[Table4].[Waiter_ID]" caption="Waiter_ID" attribute="1" defaultMemberUniqueName="[Table4].[Waiter_ID].[All]" allUniqueName="[Table4].[Waiter_ID].[All]" dimensionUniqueName="[Table4]" displayFolder="" count="0" memberValueDatatype="130" unbalanced="0"/>
    <cacheHierarchy uniqueName="[Table4].[Waiter_Name]" caption="Waiter_Name" attribute="1" defaultMemberUniqueName="[Table4].[Waiter_Name].[All]" allUniqueName="[Table4].[Waiter_Name].[All]" dimensionUniqueName="[Table4]" displayFolder="" count="0" memberValueDatatype="130" unbalanced="0"/>
    <cacheHierarchy uniqueName="[Table4].[Experience_Years]" caption="Experience_Years" attribute="1" defaultMemberUniqueName="[Table4].[Experience_Years].[All]" allUniqueName="[Table4].[Experience_Years].[All]" dimensionUniqueName="[Table4]" displayFolder="" count="0" memberValueDatatype="20" unbalanced="0"/>
    <cacheHierarchy uniqueName="[Table4].[Shift]" caption="Shift" attribute="1" defaultMemberUniqueName="[Table4].[Shift].[All]" allUniqueName="[Table4].[Shift].[All]" dimensionUniqueName="[Table4]" displayFolder="" count="0" memberValueDatatype="130" unbalanced="0"/>
    <cacheHierarchy uniqueName="[Table5].[Payment_ID]" caption="Payment_ID" attribute="1" defaultMemberUniqueName="[Table5].[Payment_ID].[All]" allUniqueName="[Table5].[Payment_ID].[All]" dimensionUniqueName="[Table5]" displayFolder="" count="0" memberValueDatatype="130" unbalanced="0"/>
    <cacheHierarchy uniqueName="[Table5].[Payment_Method]" caption="Payment_Method" attribute="1" defaultMemberUniqueName="[Table5].[Payment_Method].[All]" allUniqueName="[Table5].[Payment_Method].[All]" dimensionUniqueName="[Table5]" displayFolder="" count="0" memberValueDatatype="130" unbalanced="0"/>
    <cacheHierarchy uniqueName="[Table6].[Item_ID]" caption="Item_ID" attribute="1" defaultMemberUniqueName="[Table6].[Item_ID].[All]" allUniqueName="[Table6].[Item_ID].[All]" dimensionUniqueName="[Table6]" displayFolder="" count="0" memberValueDatatype="130" unbalanced="0"/>
    <cacheHierarchy uniqueName="[Table6].[Item_Name]" caption="Item_Name" attribute="1" defaultMemberUniqueName="[Table6].[Item_Name].[All]" allUniqueName="[Table6].[Item_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cacheHierarchy uniqueName="[Table6].[Price]" caption="Price" attribute="1" defaultMemberUniqueName="[Table6].[Price].[All]" allUniqueName="[Table6].[Price].[All]" dimensionUniqueName="[Table6]" displayFolder="" count="0" memberValueDatatype="20" unbalanced="0"/>
    <cacheHierarchy uniqueName="[Measures].[Sum of Order_ID]" caption="Sum of Order_ID" measure="1" displayFolder="" measureGroup="Table1" count="0">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Table1" count="0">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3"/>
        </ext>
      </extLst>
    </cacheHierarchy>
    <cacheHierarchy uniqueName="[Measures].[Sum of Sales_Amount]" caption="Sum of Sales_Amount" measure="1" displayFolder="" measureGroup="Table1" count="0" oneField="1">
      <fieldsUsage count="1">
        <fieldUsage x="1"/>
      </fieldsUsage>
      <extLst>
        <ext xmlns:x15="http://schemas.microsoft.com/office/spreadsheetml/2010/11/main" uri="{B97F6D7D-B522-45F9-BDA1-12C45D357490}">
          <x15:cacheHierarchy aggregatedColumn="4"/>
        </ext>
      </extLst>
    </cacheHierarchy>
    <cacheHierarchy uniqueName="[Measures].[Total Orders]" caption="Total Orders" measure="1" displayFolder="" measureGroup="Table1" count="0"/>
    <cacheHierarchy uniqueName="[Measures].[Unique orders]" caption="Unique orders" measure="1" displayFolder="" measureGroup="Table1" count="0"/>
    <cacheHierarchy uniqueName="[Measures].[Total Quntity sold]" caption="Total Quntity sold" measure="1" displayFolder="" measureGroup="Table1" count="0"/>
    <cacheHierarchy uniqueName="[Measures].[Total Sales]" caption="Total Sales"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14">
    <map measureGroup="0" dimension="1"/>
    <map measureGroup="0" dimension="2"/>
    <map measureGroup="0" dimension="3"/>
    <map measureGroup="0" dimension="4"/>
    <map measureGroup="0" dimension="5"/>
    <map measureGroup="0" dimension="6"/>
    <map measureGroup="1" dimension="2"/>
    <map measureGroup="2" dimension="2"/>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kotra" refreshedDate="46203.420999884256" backgroundQuery="1" createdVersion="8" refreshedVersion="8" minRefreshableVersion="3" recordCount="0" supportSubquery="1" supportAdvancedDrill="1" xr:uid="{A27EF1F0-7AE7-4E5F-80A1-F19327BFFB90}">
  <cacheSource type="external" connectionId="1"/>
  <cacheFields count="3">
    <cacheField name="[Measures].[Sum of Sales_Amount]" caption="Sum of Sales_Amount" numFmtId="0" hierarchy="31" level="32767"/>
    <cacheField name="[Table6].[Category].[Category]" caption="Category" numFmtId="0" hierarchy="26" level="1">
      <sharedItems count="6">
        <s v="Beverage"/>
        <s v="Dessert"/>
        <s v="Fast Food"/>
        <s v="Main Course"/>
        <s v="Snacks"/>
        <s v="Starter"/>
      </sharedItems>
    </cacheField>
    <cacheField name="[Table2].[Branch_Name].[Branch_Name]" caption="Branch_Name" numFmtId="0" hierarchy="8" level="1">
      <sharedItems containsSemiMixedTypes="0" containsNonDate="0" containsString="0"/>
    </cacheField>
  </cacheFields>
  <cacheHierarchies count="43">
    <cacheHierarchy uniqueName="[Table1].[Detail_ID]" caption="Detail_ID" attribute="1" defaultMemberUniqueName="[Table1].[Detail_ID].[All]" allUniqueName="[Table1].[Detail_ID].[All]" dimensionUniqueName="[Table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Item_ID]" caption="Item_ID" attribute="1" defaultMemberUniqueName="[Table1].[Item_ID].[All]" allUniqueName="[Table1].[Item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2].[Branch_ID]" caption="Branch_ID" attribute="1" defaultMemberUniqueName="[Table2].[Branch_ID].[All]" allUniqueName="[Table2].[Branch_ID].[All]" dimensionUniqueName="[Table2]" displayFolder="" count="0" memberValueDatatype="130" unbalanced="0"/>
    <cacheHierarchy uniqueName="[Table2].[Branch_Name]" caption="Branch_Name" attribute="1" defaultMemberUniqueName="[Table2].[Branch_Name].[All]" allUniqueName="[Table2].[Branch_Name].[All]" dimensionUniqueName="[Table2]" displayFolder="" count="2" memberValueDatatype="130" unbalanced="0">
      <fieldsUsage count="2">
        <fieldUsage x="-1"/>
        <fieldUsage x="2"/>
      </fieldsUsage>
    </cacheHierarchy>
    <cacheHierarchy uniqueName="[Table2].[City]" caption="City" attribute="1" defaultMemberUniqueName="[Table2].[City].[All]" allUniqueName="[Table2].[City].[All]" dimensionUniqueName="[Table2]" displayFolder="" count="0" memberValueDatatype="130" unbalanced="0"/>
    <cacheHierarchy uniqueName="[Table3].[Order_ID]" caption="Order_ID" attribute="1" defaultMemberUniqueName="[Table3].[Order_ID].[All]" allUniqueName="[Table3].[Order_ID].[All]" dimensionUniqueName="[Table3]" displayFolder="" count="0" memberValueDatatype="2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Order_Date]" caption="Order_Date" attribute="1" time="1" defaultMemberUniqueName="[Table3].[Order_Date].[All]" allUniqueName="[Table3].[Order_Date].[All]" dimensionUniqueName="[Table3]" displayFolder="" count="0" memberValueDatatype="7" unbalanced="0"/>
    <cacheHierarchy uniqueName="[Table3].[Branch_ID]" caption="Branch_ID" attribute="1" defaultMemberUniqueName="[Table3].[Branch_ID].[All]" allUniqueName="[Table3].[Branch_ID].[All]" dimensionUniqueName="[Table3]" displayFolder="" count="0" memberValueDatatype="130" unbalanced="0"/>
    <cacheHierarchy uniqueName="[Table3].[Waiter_ID]" caption="Waiter_ID" attribute="1" defaultMemberUniqueName="[Table3].[Waiter_ID].[All]" allUniqueName="[Table3].[Waiter_ID].[All]" dimensionUniqueName="[Table3]" displayFolder="" count="0" memberValueDatatype="130" unbalanced="0"/>
    <cacheHierarchy uniqueName="[Table3].[Payment_ID]" caption="Payment_ID" attribute="1" defaultMemberUniqueName="[Table3].[Payment_ID].[All]" allUniqueName="[Table3].[Payment_ID].[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Dining_Type]" caption="Dining_Type" attribute="1" defaultMemberUniqueName="[Table3].[Dining_Type].[All]" allUniqueName="[Table3].[Dining_Type].[All]" dimensionUniqueName="[Table3]" displayFolder="" count="2" memberValueDatatype="130" unbalanced="0"/>
    <cacheHierarchy uniqueName="[Table4].[Waiter_ID]" caption="Waiter_ID" attribute="1" defaultMemberUniqueName="[Table4].[Waiter_ID].[All]" allUniqueName="[Table4].[Waiter_ID].[All]" dimensionUniqueName="[Table4]" displayFolder="" count="0" memberValueDatatype="130" unbalanced="0"/>
    <cacheHierarchy uniqueName="[Table4].[Waiter_Name]" caption="Waiter_Name" attribute="1" defaultMemberUniqueName="[Table4].[Waiter_Name].[All]" allUniqueName="[Table4].[Waiter_Name].[All]" dimensionUniqueName="[Table4]" displayFolder="" count="0" memberValueDatatype="130" unbalanced="0"/>
    <cacheHierarchy uniqueName="[Table4].[Experience_Years]" caption="Experience_Years" attribute="1" defaultMemberUniqueName="[Table4].[Experience_Years].[All]" allUniqueName="[Table4].[Experience_Years].[All]" dimensionUniqueName="[Table4]" displayFolder="" count="0" memberValueDatatype="20" unbalanced="0"/>
    <cacheHierarchy uniqueName="[Table4].[Shift]" caption="Shift" attribute="1" defaultMemberUniqueName="[Table4].[Shift].[All]" allUniqueName="[Table4].[Shift].[All]" dimensionUniqueName="[Table4]" displayFolder="" count="0" memberValueDatatype="130" unbalanced="0"/>
    <cacheHierarchy uniqueName="[Table5].[Payment_ID]" caption="Payment_ID" attribute="1" defaultMemberUniqueName="[Table5].[Payment_ID].[All]" allUniqueName="[Table5].[Payment_ID].[All]" dimensionUniqueName="[Table5]" displayFolder="" count="0" memberValueDatatype="130" unbalanced="0"/>
    <cacheHierarchy uniqueName="[Table5].[Payment_Method]" caption="Payment_Method" attribute="1" defaultMemberUniqueName="[Table5].[Payment_Method].[All]" allUniqueName="[Table5].[Payment_Method].[All]" dimensionUniqueName="[Table5]" displayFolder="" count="0" memberValueDatatype="130" unbalanced="0"/>
    <cacheHierarchy uniqueName="[Table6].[Item_ID]" caption="Item_ID" attribute="1" defaultMemberUniqueName="[Table6].[Item_ID].[All]" allUniqueName="[Table6].[Item_ID].[All]" dimensionUniqueName="[Table6]" displayFolder="" count="0" memberValueDatatype="130" unbalanced="0"/>
    <cacheHierarchy uniqueName="[Table6].[Item_Name]" caption="Item_Name" attribute="1" defaultMemberUniqueName="[Table6].[Item_Name].[All]" allUniqueName="[Table6].[Item_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fieldsUsage count="2">
        <fieldUsage x="-1"/>
        <fieldUsage x="1"/>
      </fieldsUsage>
    </cacheHierarchy>
    <cacheHierarchy uniqueName="[Table6].[Price]" caption="Price" attribute="1" defaultMemberUniqueName="[Table6].[Price].[All]" allUniqueName="[Table6].[Price].[All]" dimensionUniqueName="[Table6]" displayFolder="" count="0" memberValueDatatype="20" unbalanced="0"/>
    <cacheHierarchy uniqueName="[Measures].[Sum of Order_ID]" caption="Sum of Order_ID" measure="1" displayFolder="" measureGroup="Table1" count="0">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Table1" count="0">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3"/>
        </ext>
      </extLst>
    </cacheHierarchy>
    <cacheHierarchy uniqueName="[Measures].[Sum of Sales_Amount]" caption="Sum of Sales_Amount" measure="1" displayFolder="" measureGroup="Table1" count="0" oneField="1">
      <fieldsUsage count="1">
        <fieldUsage x="0"/>
      </fieldsUsage>
      <extLst>
        <ext xmlns:x15="http://schemas.microsoft.com/office/spreadsheetml/2010/11/main" uri="{B97F6D7D-B522-45F9-BDA1-12C45D357490}">
          <x15:cacheHierarchy aggregatedColumn="4"/>
        </ext>
      </extLst>
    </cacheHierarchy>
    <cacheHierarchy uniqueName="[Measures].[Total Orders]" caption="Total Orders" measure="1" displayFolder="" measureGroup="Table1" count="0"/>
    <cacheHierarchy uniqueName="[Measures].[Unique orders]" caption="Unique orders" measure="1" displayFolder="" measureGroup="Table1" count="0"/>
    <cacheHierarchy uniqueName="[Measures].[Total Quntity sold]" caption="Total Quntity sold" measure="1" displayFolder="" measureGroup="Table1" count="0"/>
    <cacheHierarchy uniqueName="[Measures].[Total Sales]" caption="Total Sales"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14">
    <map measureGroup="0" dimension="1"/>
    <map measureGroup="0" dimension="2"/>
    <map measureGroup="0" dimension="3"/>
    <map measureGroup="0" dimension="4"/>
    <map measureGroup="0" dimension="5"/>
    <map measureGroup="0" dimension="6"/>
    <map measureGroup="1" dimension="2"/>
    <map measureGroup="2" dimension="2"/>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kotra" refreshedDate="46203.421000694441" backgroundQuery="1" createdVersion="8" refreshedVersion="8" minRefreshableVersion="3" recordCount="0" supportSubquery="1" supportAdvancedDrill="1" xr:uid="{3A8B4F71-4BC1-4A5C-B432-370169AEC90D}">
  <cacheSource type="external" connectionId="1"/>
  <cacheFields count="3">
    <cacheField name="[Measures].[Sum of Sales_Amount]" caption="Sum of Sales_Amount" numFmtId="0" hierarchy="31" level="32767"/>
    <cacheField name="[Table4].[Waiter_Name].[Waiter_Name]" caption="Waiter_Name" numFmtId="0" hierarchy="19" level="1">
      <sharedItems count="10">
        <s v="Ajay"/>
        <s v="Arjun"/>
        <s v="Kiran"/>
        <s v="Mahesh"/>
        <s v="Naveen"/>
        <s v="Praveen"/>
        <s v="Ramesh"/>
        <s v="Suresh"/>
        <s v="Teja"/>
        <s v="Vinod"/>
      </sharedItems>
    </cacheField>
    <cacheField name="[Table2].[Branch_Name].[Branch_Name]" caption="Branch_Name" numFmtId="0" hierarchy="8" level="1">
      <sharedItems containsSemiMixedTypes="0" containsNonDate="0" containsString="0"/>
    </cacheField>
  </cacheFields>
  <cacheHierarchies count="43">
    <cacheHierarchy uniqueName="[Table1].[Detail_ID]" caption="Detail_ID" attribute="1" defaultMemberUniqueName="[Table1].[Detail_ID].[All]" allUniqueName="[Table1].[Detail_ID].[All]" dimensionUniqueName="[Table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Item_ID]" caption="Item_ID" attribute="1" defaultMemberUniqueName="[Table1].[Item_ID].[All]" allUniqueName="[Table1].[Item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2].[Branch_ID]" caption="Branch_ID" attribute="1" defaultMemberUniqueName="[Table2].[Branch_ID].[All]" allUniqueName="[Table2].[Branch_ID].[All]" dimensionUniqueName="[Table2]" displayFolder="" count="0" memberValueDatatype="130" unbalanced="0"/>
    <cacheHierarchy uniqueName="[Table2].[Branch_Name]" caption="Branch_Name" attribute="1" defaultMemberUniqueName="[Table2].[Branch_Name].[All]" allUniqueName="[Table2].[Branch_Name].[All]" dimensionUniqueName="[Table2]" displayFolder="" count="2" memberValueDatatype="130" unbalanced="0">
      <fieldsUsage count="2">
        <fieldUsage x="-1"/>
        <fieldUsage x="2"/>
      </fieldsUsage>
    </cacheHierarchy>
    <cacheHierarchy uniqueName="[Table2].[City]" caption="City" attribute="1" defaultMemberUniqueName="[Table2].[City].[All]" allUniqueName="[Table2].[City].[All]" dimensionUniqueName="[Table2]" displayFolder="" count="0" memberValueDatatype="130" unbalanced="0"/>
    <cacheHierarchy uniqueName="[Table3].[Order_ID]" caption="Order_ID" attribute="1" defaultMemberUniqueName="[Table3].[Order_ID].[All]" allUniqueName="[Table3].[Order_ID].[All]" dimensionUniqueName="[Table3]" displayFolder="" count="0" memberValueDatatype="2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Order_Date]" caption="Order_Date" attribute="1" time="1" defaultMemberUniqueName="[Table3].[Order_Date].[All]" allUniqueName="[Table3].[Order_Date].[All]" dimensionUniqueName="[Table3]" displayFolder="" count="0" memberValueDatatype="7" unbalanced="0"/>
    <cacheHierarchy uniqueName="[Table3].[Branch_ID]" caption="Branch_ID" attribute="1" defaultMemberUniqueName="[Table3].[Branch_ID].[All]" allUniqueName="[Table3].[Branch_ID].[All]" dimensionUniqueName="[Table3]" displayFolder="" count="0" memberValueDatatype="130" unbalanced="0"/>
    <cacheHierarchy uniqueName="[Table3].[Waiter_ID]" caption="Waiter_ID" attribute="1" defaultMemberUniqueName="[Table3].[Waiter_ID].[All]" allUniqueName="[Table3].[Waiter_ID].[All]" dimensionUniqueName="[Table3]" displayFolder="" count="0" memberValueDatatype="130" unbalanced="0"/>
    <cacheHierarchy uniqueName="[Table3].[Payment_ID]" caption="Payment_ID" attribute="1" defaultMemberUniqueName="[Table3].[Payment_ID].[All]" allUniqueName="[Table3].[Payment_ID].[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Dining_Type]" caption="Dining_Type" attribute="1" defaultMemberUniqueName="[Table3].[Dining_Type].[All]" allUniqueName="[Table3].[Dining_Type].[All]" dimensionUniqueName="[Table3]" displayFolder="" count="2" memberValueDatatype="130" unbalanced="0"/>
    <cacheHierarchy uniqueName="[Table4].[Waiter_ID]" caption="Waiter_ID" attribute="1" defaultMemberUniqueName="[Table4].[Waiter_ID].[All]" allUniqueName="[Table4].[Waiter_ID].[All]" dimensionUniqueName="[Table4]" displayFolder="" count="0" memberValueDatatype="130" unbalanced="0"/>
    <cacheHierarchy uniqueName="[Table4].[Waiter_Name]" caption="Waiter_Name" attribute="1" defaultMemberUniqueName="[Table4].[Waiter_Name].[All]" allUniqueName="[Table4].[Waiter_Name].[All]" dimensionUniqueName="[Table4]" displayFolder="" count="2" memberValueDatatype="130" unbalanced="0">
      <fieldsUsage count="2">
        <fieldUsage x="-1"/>
        <fieldUsage x="1"/>
      </fieldsUsage>
    </cacheHierarchy>
    <cacheHierarchy uniqueName="[Table4].[Experience_Years]" caption="Experience_Years" attribute="1" defaultMemberUniqueName="[Table4].[Experience_Years].[All]" allUniqueName="[Table4].[Experience_Years].[All]" dimensionUniqueName="[Table4]" displayFolder="" count="0" memberValueDatatype="20" unbalanced="0"/>
    <cacheHierarchy uniqueName="[Table4].[Shift]" caption="Shift" attribute="1" defaultMemberUniqueName="[Table4].[Shift].[All]" allUniqueName="[Table4].[Shift].[All]" dimensionUniqueName="[Table4]" displayFolder="" count="0" memberValueDatatype="130" unbalanced="0"/>
    <cacheHierarchy uniqueName="[Table5].[Payment_ID]" caption="Payment_ID" attribute="1" defaultMemberUniqueName="[Table5].[Payment_ID].[All]" allUniqueName="[Table5].[Payment_ID].[All]" dimensionUniqueName="[Table5]" displayFolder="" count="0" memberValueDatatype="130" unbalanced="0"/>
    <cacheHierarchy uniqueName="[Table5].[Payment_Method]" caption="Payment_Method" attribute="1" defaultMemberUniqueName="[Table5].[Payment_Method].[All]" allUniqueName="[Table5].[Payment_Method].[All]" dimensionUniqueName="[Table5]" displayFolder="" count="0" memberValueDatatype="130" unbalanced="0"/>
    <cacheHierarchy uniqueName="[Table6].[Item_ID]" caption="Item_ID" attribute="1" defaultMemberUniqueName="[Table6].[Item_ID].[All]" allUniqueName="[Table6].[Item_ID].[All]" dimensionUniqueName="[Table6]" displayFolder="" count="0" memberValueDatatype="130" unbalanced="0"/>
    <cacheHierarchy uniqueName="[Table6].[Item_Name]" caption="Item_Name" attribute="1" defaultMemberUniqueName="[Table6].[Item_Name].[All]" allUniqueName="[Table6].[Item_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cacheHierarchy uniqueName="[Table6].[Price]" caption="Price" attribute="1" defaultMemberUniqueName="[Table6].[Price].[All]" allUniqueName="[Table6].[Price].[All]" dimensionUniqueName="[Table6]" displayFolder="" count="0" memberValueDatatype="20" unbalanced="0"/>
    <cacheHierarchy uniqueName="[Measures].[Sum of Order_ID]" caption="Sum of Order_ID" measure="1" displayFolder="" measureGroup="Table1" count="0">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Table1" count="0">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3"/>
        </ext>
      </extLst>
    </cacheHierarchy>
    <cacheHierarchy uniqueName="[Measures].[Sum of Sales_Amount]" caption="Sum of Sales_Amount" measure="1" displayFolder="" measureGroup="Table1" count="0" oneField="1">
      <fieldsUsage count="1">
        <fieldUsage x="0"/>
      </fieldsUsage>
      <extLst>
        <ext xmlns:x15="http://schemas.microsoft.com/office/spreadsheetml/2010/11/main" uri="{B97F6D7D-B522-45F9-BDA1-12C45D357490}">
          <x15:cacheHierarchy aggregatedColumn="4"/>
        </ext>
      </extLst>
    </cacheHierarchy>
    <cacheHierarchy uniqueName="[Measures].[Total Orders]" caption="Total Orders" measure="1" displayFolder="" measureGroup="Table1" count="0"/>
    <cacheHierarchy uniqueName="[Measures].[Unique orders]" caption="Unique orders" measure="1" displayFolder="" measureGroup="Table1" count="0"/>
    <cacheHierarchy uniqueName="[Measures].[Total Quntity sold]" caption="Total Quntity sold" measure="1" displayFolder="" measureGroup="Table1" count="0"/>
    <cacheHierarchy uniqueName="[Measures].[Total Sales]" caption="Total Sales"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14">
    <map measureGroup="0" dimension="1"/>
    <map measureGroup="0" dimension="2"/>
    <map measureGroup="0" dimension="3"/>
    <map measureGroup="0" dimension="4"/>
    <map measureGroup="0" dimension="5"/>
    <map measureGroup="0" dimension="6"/>
    <map measureGroup="1" dimension="2"/>
    <map measureGroup="2" dimension="2"/>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kotra" refreshedDate="46203.421001388888" backgroundQuery="1" createdVersion="8" refreshedVersion="8" minRefreshableVersion="3" recordCount="0" supportSubquery="1" supportAdvancedDrill="1" xr:uid="{DF5D98A8-CA1D-49CF-A497-58695FE9C653}">
  <cacheSource type="external" connectionId="1"/>
  <cacheFields count="3">
    <cacheField name="[Table1].[Month].[Month]" caption="Month" numFmtId="0" hierarchy="5" level="1">
      <sharedItems count="4">
        <s v="Apr"/>
        <s v="Feb"/>
        <s v="Jan"/>
        <s v="Mar"/>
      </sharedItems>
    </cacheField>
    <cacheField name="[Measures].[Sum of Sales_Amount]" caption="Sum of Sales_Amount" numFmtId="0" hierarchy="31" level="32767"/>
    <cacheField name="[Table2].[Branch_Name].[Branch_Name]" caption="Branch_Name" numFmtId="0" hierarchy="8" level="1">
      <sharedItems containsSemiMixedTypes="0" containsNonDate="0" containsString="0"/>
    </cacheField>
  </cacheFields>
  <cacheHierarchies count="43">
    <cacheHierarchy uniqueName="[Table1].[Detail_ID]" caption="Detail_ID" attribute="1" defaultMemberUniqueName="[Table1].[Detail_ID].[All]" allUniqueName="[Table1].[Detail_ID].[All]" dimensionUniqueName="[Table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Item_ID]" caption="Item_ID" attribute="1" defaultMemberUniqueName="[Table1].[Item_ID].[All]" allUniqueName="[Table1].[Item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Year]" caption="Year" attribute="1" defaultMemberUniqueName="[Table1].[Year].[All]" allUniqueName="[Table1].[Year].[All]" dimensionUniqueName="[Table1]" displayFolder="" count="0" memberValueDatatype="20" unbalanced="0"/>
    <cacheHierarchy uniqueName="[Table2].[Branch_ID]" caption="Branch_ID" attribute="1" defaultMemberUniqueName="[Table2].[Branch_ID].[All]" allUniqueName="[Table2].[Branch_ID].[All]" dimensionUniqueName="[Table2]" displayFolder="" count="0" memberValueDatatype="130" unbalanced="0"/>
    <cacheHierarchy uniqueName="[Table2].[Branch_Name]" caption="Branch_Name" attribute="1" defaultMemberUniqueName="[Table2].[Branch_Name].[All]" allUniqueName="[Table2].[Branch_Name].[All]" dimensionUniqueName="[Table2]" displayFolder="" count="2" memberValueDatatype="130" unbalanced="0">
      <fieldsUsage count="2">
        <fieldUsage x="-1"/>
        <fieldUsage x="2"/>
      </fieldsUsage>
    </cacheHierarchy>
    <cacheHierarchy uniqueName="[Table2].[City]" caption="City" attribute="1" defaultMemberUniqueName="[Table2].[City].[All]" allUniqueName="[Table2].[City].[All]" dimensionUniqueName="[Table2]" displayFolder="" count="0" memberValueDatatype="130" unbalanced="0"/>
    <cacheHierarchy uniqueName="[Table3].[Order_ID]" caption="Order_ID" attribute="1" defaultMemberUniqueName="[Table3].[Order_ID].[All]" allUniqueName="[Table3].[Order_ID].[All]" dimensionUniqueName="[Table3]" displayFolder="" count="0" memberValueDatatype="2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Order_Date]" caption="Order_Date" attribute="1" time="1" defaultMemberUniqueName="[Table3].[Order_Date].[All]" allUniqueName="[Table3].[Order_Date].[All]" dimensionUniqueName="[Table3]" displayFolder="" count="0" memberValueDatatype="7" unbalanced="0"/>
    <cacheHierarchy uniqueName="[Table3].[Branch_ID]" caption="Branch_ID" attribute="1" defaultMemberUniqueName="[Table3].[Branch_ID].[All]" allUniqueName="[Table3].[Branch_ID].[All]" dimensionUniqueName="[Table3]" displayFolder="" count="0" memberValueDatatype="130" unbalanced="0"/>
    <cacheHierarchy uniqueName="[Table3].[Waiter_ID]" caption="Waiter_ID" attribute="1" defaultMemberUniqueName="[Table3].[Waiter_ID].[All]" allUniqueName="[Table3].[Waiter_ID].[All]" dimensionUniqueName="[Table3]" displayFolder="" count="0" memberValueDatatype="130" unbalanced="0"/>
    <cacheHierarchy uniqueName="[Table3].[Payment_ID]" caption="Payment_ID" attribute="1" defaultMemberUniqueName="[Table3].[Payment_ID].[All]" allUniqueName="[Table3].[Payment_ID].[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Dining_Type]" caption="Dining_Type" attribute="1" defaultMemberUniqueName="[Table3].[Dining_Type].[All]" allUniqueName="[Table3].[Dining_Type].[All]" dimensionUniqueName="[Table3]" displayFolder="" count="2" memberValueDatatype="130" unbalanced="0"/>
    <cacheHierarchy uniqueName="[Table4].[Waiter_ID]" caption="Waiter_ID" attribute="1" defaultMemberUniqueName="[Table4].[Waiter_ID].[All]" allUniqueName="[Table4].[Waiter_ID].[All]" dimensionUniqueName="[Table4]" displayFolder="" count="0" memberValueDatatype="130" unbalanced="0"/>
    <cacheHierarchy uniqueName="[Table4].[Waiter_Name]" caption="Waiter_Name" attribute="1" defaultMemberUniqueName="[Table4].[Waiter_Name].[All]" allUniqueName="[Table4].[Waiter_Name].[All]" dimensionUniqueName="[Table4]" displayFolder="" count="0" memberValueDatatype="130" unbalanced="0"/>
    <cacheHierarchy uniqueName="[Table4].[Experience_Years]" caption="Experience_Years" attribute="1" defaultMemberUniqueName="[Table4].[Experience_Years].[All]" allUniqueName="[Table4].[Experience_Years].[All]" dimensionUniqueName="[Table4]" displayFolder="" count="0" memberValueDatatype="20" unbalanced="0"/>
    <cacheHierarchy uniqueName="[Table4].[Shift]" caption="Shift" attribute="1" defaultMemberUniqueName="[Table4].[Shift].[All]" allUniqueName="[Table4].[Shift].[All]" dimensionUniqueName="[Table4]" displayFolder="" count="0" memberValueDatatype="130" unbalanced="0"/>
    <cacheHierarchy uniqueName="[Table5].[Payment_ID]" caption="Payment_ID" attribute="1" defaultMemberUniqueName="[Table5].[Payment_ID].[All]" allUniqueName="[Table5].[Payment_ID].[All]" dimensionUniqueName="[Table5]" displayFolder="" count="0" memberValueDatatype="130" unbalanced="0"/>
    <cacheHierarchy uniqueName="[Table5].[Payment_Method]" caption="Payment_Method" attribute="1" defaultMemberUniqueName="[Table5].[Payment_Method].[All]" allUniqueName="[Table5].[Payment_Method].[All]" dimensionUniqueName="[Table5]" displayFolder="" count="0" memberValueDatatype="130" unbalanced="0"/>
    <cacheHierarchy uniqueName="[Table6].[Item_ID]" caption="Item_ID" attribute="1" defaultMemberUniqueName="[Table6].[Item_ID].[All]" allUniqueName="[Table6].[Item_ID].[All]" dimensionUniqueName="[Table6]" displayFolder="" count="0" memberValueDatatype="130" unbalanced="0"/>
    <cacheHierarchy uniqueName="[Table6].[Item_Name]" caption="Item_Name" attribute="1" defaultMemberUniqueName="[Table6].[Item_Name].[All]" allUniqueName="[Table6].[Item_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cacheHierarchy uniqueName="[Table6].[Price]" caption="Price" attribute="1" defaultMemberUniqueName="[Table6].[Price].[All]" allUniqueName="[Table6].[Price].[All]" dimensionUniqueName="[Table6]" displayFolder="" count="0" memberValueDatatype="20" unbalanced="0"/>
    <cacheHierarchy uniqueName="[Measures].[Sum of Order_ID]" caption="Sum of Order_ID" measure="1" displayFolder="" measureGroup="Table1" count="0">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Table1" count="0">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3"/>
        </ext>
      </extLst>
    </cacheHierarchy>
    <cacheHierarchy uniqueName="[Measures].[Sum of Sales_Amount]" caption="Sum of Sales_Amount" measure="1" displayFolder="" measureGroup="Table1" count="0" oneField="1">
      <fieldsUsage count="1">
        <fieldUsage x="1"/>
      </fieldsUsage>
      <extLst>
        <ext xmlns:x15="http://schemas.microsoft.com/office/spreadsheetml/2010/11/main" uri="{B97F6D7D-B522-45F9-BDA1-12C45D357490}">
          <x15:cacheHierarchy aggregatedColumn="4"/>
        </ext>
      </extLst>
    </cacheHierarchy>
    <cacheHierarchy uniqueName="[Measures].[Total Orders]" caption="Total Orders" measure="1" displayFolder="" measureGroup="Table1" count="0"/>
    <cacheHierarchy uniqueName="[Measures].[Unique orders]" caption="Unique orders" measure="1" displayFolder="" measureGroup="Table1" count="0"/>
    <cacheHierarchy uniqueName="[Measures].[Total Quntity sold]" caption="Total Quntity sold" measure="1" displayFolder="" measureGroup="Table1" count="0"/>
    <cacheHierarchy uniqueName="[Measures].[Total Sales]" caption="Total Sales"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14">
    <map measureGroup="0" dimension="1"/>
    <map measureGroup="0" dimension="2"/>
    <map measureGroup="0" dimension="3"/>
    <map measureGroup="0" dimension="4"/>
    <map measureGroup="0" dimension="5"/>
    <map measureGroup="0" dimension="6"/>
    <map measureGroup="1" dimension="2"/>
    <map measureGroup="2" dimension="2"/>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kotra" refreshedDate="46203.421002199073" backgroundQuery="1" createdVersion="8" refreshedVersion="8" minRefreshableVersion="3" recordCount="0" supportSubquery="1" supportAdvancedDrill="1" xr:uid="{ABAD5F27-E387-4DE8-AECB-45934A599CFD}">
  <cacheSource type="external" connectionId="1"/>
  <cacheFields count="3">
    <cacheField name="[Measures].[Sum of Sales_Amount]" caption="Sum of Sales_Amount" numFmtId="0" hierarchy="31" level="32767"/>
    <cacheField name="[Table5].[Payment_Method].[Payment_Method]" caption="Payment_Method" numFmtId="0" hierarchy="23" level="1">
      <sharedItems count="4">
        <s v="Cash"/>
        <s v="Credit Card"/>
        <s v="Debit Card"/>
        <s v="UPI"/>
      </sharedItems>
    </cacheField>
    <cacheField name="[Table2].[Branch_Name].[Branch_Name]" caption="Branch_Name" numFmtId="0" hierarchy="8" level="1">
      <sharedItems containsSemiMixedTypes="0" containsNonDate="0" containsString="0"/>
    </cacheField>
  </cacheFields>
  <cacheHierarchies count="43">
    <cacheHierarchy uniqueName="[Table1].[Detail_ID]" caption="Detail_ID" attribute="1" defaultMemberUniqueName="[Table1].[Detail_ID].[All]" allUniqueName="[Table1].[Detail_ID].[All]" dimensionUniqueName="[Table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Item_ID]" caption="Item_ID" attribute="1" defaultMemberUniqueName="[Table1].[Item_ID].[All]" allUniqueName="[Table1].[Item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2].[Branch_ID]" caption="Branch_ID" attribute="1" defaultMemberUniqueName="[Table2].[Branch_ID].[All]" allUniqueName="[Table2].[Branch_ID].[All]" dimensionUniqueName="[Table2]" displayFolder="" count="0" memberValueDatatype="130" unbalanced="0"/>
    <cacheHierarchy uniqueName="[Table2].[Branch_Name]" caption="Branch_Name" attribute="1" defaultMemberUniqueName="[Table2].[Branch_Name].[All]" allUniqueName="[Table2].[Branch_Name].[All]" dimensionUniqueName="[Table2]" displayFolder="" count="2" memberValueDatatype="130" unbalanced="0">
      <fieldsUsage count="2">
        <fieldUsage x="-1"/>
        <fieldUsage x="2"/>
      </fieldsUsage>
    </cacheHierarchy>
    <cacheHierarchy uniqueName="[Table2].[City]" caption="City" attribute="1" defaultMemberUniqueName="[Table2].[City].[All]" allUniqueName="[Table2].[City].[All]" dimensionUniqueName="[Table2]" displayFolder="" count="0" memberValueDatatype="130" unbalanced="0"/>
    <cacheHierarchy uniqueName="[Table3].[Order_ID]" caption="Order_ID" attribute="1" defaultMemberUniqueName="[Table3].[Order_ID].[All]" allUniqueName="[Table3].[Order_ID].[All]" dimensionUniqueName="[Table3]" displayFolder="" count="0" memberValueDatatype="2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Order_Date]" caption="Order_Date" attribute="1" time="1" defaultMemberUniqueName="[Table3].[Order_Date].[All]" allUniqueName="[Table3].[Order_Date].[All]" dimensionUniqueName="[Table3]" displayFolder="" count="0" memberValueDatatype="7" unbalanced="0"/>
    <cacheHierarchy uniqueName="[Table3].[Branch_ID]" caption="Branch_ID" attribute="1" defaultMemberUniqueName="[Table3].[Branch_ID].[All]" allUniqueName="[Table3].[Branch_ID].[All]" dimensionUniqueName="[Table3]" displayFolder="" count="0" memberValueDatatype="130" unbalanced="0"/>
    <cacheHierarchy uniqueName="[Table3].[Waiter_ID]" caption="Waiter_ID" attribute="1" defaultMemberUniqueName="[Table3].[Waiter_ID].[All]" allUniqueName="[Table3].[Waiter_ID].[All]" dimensionUniqueName="[Table3]" displayFolder="" count="0" memberValueDatatype="130" unbalanced="0"/>
    <cacheHierarchy uniqueName="[Table3].[Payment_ID]" caption="Payment_ID" attribute="1" defaultMemberUniqueName="[Table3].[Payment_ID].[All]" allUniqueName="[Table3].[Payment_ID].[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Dining_Type]" caption="Dining_Type" attribute="1" defaultMemberUniqueName="[Table3].[Dining_Type].[All]" allUniqueName="[Table3].[Dining_Type].[All]" dimensionUniqueName="[Table3]" displayFolder="" count="2" memberValueDatatype="130" unbalanced="0"/>
    <cacheHierarchy uniqueName="[Table4].[Waiter_ID]" caption="Waiter_ID" attribute="1" defaultMemberUniqueName="[Table4].[Waiter_ID].[All]" allUniqueName="[Table4].[Waiter_ID].[All]" dimensionUniqueName="[Table4]" displayFolder="" count="0" memberValueDatatype="130" unbalanced="0"/>
    <cacheHierarchy uniqueName="[Table4].[Waiter_Name]" caption="Waiter_Name" attribute="1" defaultMemberUniqueName="[Table4].[Waiter_Name].[All]" allUniqueName="[Table4].[Waiter_Name].[All]" dimensionUniqueName="[Table4]" displayFolder="" count="0" memberValueDatatype="130" unbalanced="0"/>
    <cacheHierarchy uniqueName="[Table4].[Experience_Years]" caption="Experience_Years" attribute="1" defaultMemberUniqueName="[Table4].[Experience_Years].[All]" allUniqueName="[Table4].[Experience_Years].[All]" dimensionUniqueName="[Table4]" displayFolder="" count="0" memberValueDatatype="20" unbalanced="0"/>
    <cacheHierarchy uniqueName="[Table4].[Shift]" caption="Shift" attribute="1" defaultMemberUniqueName="[Table4].[Shift].[All]" allUniqueName="[Table4].[Shift].[All]" dimensionUniqueName="[Table4]" displayFolder="" count="0" memberValueDatatype="130" unbalanced="0"/>
    <cacheHierarchy uniqueName="[Table5].[Payment_ID]" caption="Payment_ID" attribute="1" defaultMemberUniqueName="[Table5].[Payment_ID].[All]" allUniqueName="[Table5].[Payment_ID].[All]" dimensionUniqueName="[Table5]" displayFolder="" count="0" memberValueDatatype="130" unbalanced="0"/>
    <cacheHierarchy uniqueName="[Table5].[Payment_Method]" caption="Payment_Method" attribute="1" defaultMemberUniqueName="[Table5].[Payment_Method].[All]" allUniqueName="[Table5].[Payment_Method].[All]" dimensionUniqueName="[Table5]" displayFolder="" count="2" memberValueDatatype="130" unbalanced="0">
      <fieldsUsage count="2">
        <fieldUsage x="-1"/>
        <fieldUsage x="1"/>
      </fieldsUsage>
    </cacheHierarchy>
    <cacheHierarchy uniqueName="[Table6].[Item_ID]" caption="Item_ID" attribute="1" defaultMemberUniqueName="[Table6].[Item_ID].[All]" allUniqueName="[Table6].[Item_ID].[All]" dimensionUniqueName="[Table6]" displayFolder="" count="0" memberValueDatatype="130" unbalanced="0"/>
    <cacheHierarchy uniqueName="[Table6].[Item_Name]" caption="Item_Name" attribute="1" defaultMemberUniqueName="[Table6].[Item_Name].[All]" allUniqueName="[Table6].[Item_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cacheHierarchy uniqueName="[Table6].[Price]" caption="Price" attribute="1" defaultMemberUniqueName="[Table6].[Price].[All]" allUniqueName="[Table6].[Price].[All]" dimensionUniqueName="[Table6]" displayFolder="" count="0" memberValueDatatype="20" unbalanced="0"/>
    <cacheHierarchy uniqueName="[Measures].[Sum of Order_ID]" caption="Sum of Order_ID" measure="1" displayFolder="" measureGroup="Table1" count="0">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Table1" count="0">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3"/>
        </ext>
      </extLst>
    </cacheHierarchy>
    <cacheHierarchy uniqueName="[Measures].[Sum of Sales_Amount]" caption="Sum of Sales_Amount" measure="1" displayFolder="" measureGroup="Table1" count="0" oneField="1">
      <fieldsUsage count="1">
        <fieldUsage x="0"/>
      </fieldsUsage>
      <extLst>
        <ext xmlns:x15="http://schemas.microsoft.com/office/spreadsheetml/2010/11/main" uri="{B97F6D7D-B522-45F9-BDA1-12C45D357490}">
          <x15:cacheHierarchy aggregatedColumn="4"/>
        </ext>
      </extLst>
    </cacheHierarchy>
    <cacheHierarchy uniqueName="[Measures].[Total Orders]" caption="Total Orders" measure="1" displayFolder="" measureGroup="Table1" count="0"/>
    <cacheHierarchy uniqueName="[Measures].[Unique orders]" caption="Unique orders" measure="1" displayFolder="" measureGroup="Table1" count="0"/>
    <cacheHierarchy uniqueName="[Measures].[Total Quntity sold]" caption="Total Quntity sold" measure="1" displayFolder="" measureGroup="Table1" count="0"/>
    <cacheHierarchy uniqueName="[Measures].[Total Sales]" caption="Total Sales"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14">
    <map measureGroup="0" dimension="1"/>
    <map measureGroup="0" dimension="2"/>
    <map measureGroup="0" dimension="3"/>
    <map measureGroup="0" dimension="4"/>
    <map measureGroup="0" dimension="5"/>
    <map measureGroup="0" dimension="6"/>
    <map measureGroup="1" dimension="2"/>
    <map measureGroup="2" dimension="2"/>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kotra" refreshedDate="46203.421003009258" backgroundQuery="1" createdVersion="8" refreshedVersion="8" minRefreshableVersion="3" recordCount="0" supportSubquery="1" supportAdvancedDrill="1" xr:uid="{AD1E03C2-5E33-4AB9-B51E-9CC3C9CED28F}">
  <cacheSource type="external" connectionId="1"/>
  <cacheFields count="3">
    <cacheField name="[Table3].[Dining_Type].[Dining_Type]" caption="Dining_Type" numFmtId="0" hierarchy="17" level="1">
      <sharedItems count="3">
        <s v="Delivery"/>
        <s v="Dine-In"/>
        <s v="Takeaway"/>
      </sharedItems>
    </cacheField>
    <cacheField name="[Measures].[Sum of Sales_Amount]" caption="Sum of Sales_Amount" numFmtId="0" hierarchy="31" level="32767"/>
    <cacheField name="[Table2].[Branch_Name].[Branch_Name]" caption="Branch_Name" numFmtId="0" hierarchy="8" level="1">
      <sharedItems containsSemiMixedTypes="0" containsNonDate="0" containsString="0"/>
    </cacheField>
  </cacheFields>
  <cacheHierarchies count="43">
    <cacheHierarchy uniqueName="[Table1].[Detail_ID]" caption="Detail_ID" attribute="1" defaultMemberUniqueName="[Table1].[Detail_ID].[All]" allUniqueName="[Table1].[Detail_ID].[All]" dimensionUniqueName="[Table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Item_ID]" caption="Item_ID" attribute="1" defaultMemberUniqueName="[Table1].[Item_ID].[All]" allUniqueName="[Table1].[Item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2].[Branch_ID]" caption="Branch_ID" attribute="1" defaultMemberUniqueName="[Table2].[Branch_ID].[All]" allUniqueName="[Table2].[Branch_ID].[All]" dimensionUniqueName="[Table2]" displayFolder="" count="0" memberValueDatatype="130" unbalanced="0"/>
    <cacheHierarchy uniqueName="[Table2].[Branch_Name]" caption="Branch_Name" attribute="1" defaultMemberUniqueName="[Table2].[Branch_Name].[All]" allUniqueName="[Table2].[Branch_Name].[All]" dimensionUniqueName="[Table2]" displayFolder="" count="2" memberValueDatatype="130" unbalanced="0">
      <fieldsUsage count="2">
        <fieldUsage x="-1"/>
        <fieldUsage x="2"/>
      </fieldsUsage>
    </cacheHierarchy>
    <cacheHierarchy uniqueName="[Table2].[City]" caption="City" attribute="1" defaultMemberUniqueName="[Table2].[City].[All]" allUniqueName="[Table2].[City].[All]" dimensionUniqueName="[Table2]" displayFolder="" count="0" memberValueDatatype="130" unbalanced="0"/>
    <cacheHierarchy uniqueName="[Table3].[Order_ID]" caption="Order_ID" attribute="1" defaultMemberUniqueName="[Table3].[Order_ID].[All]" allUniqueName="[Table3].[Order_ID].[All]" dimensionUniqueName="[Table3]" displayFolder="" count="0" memberValueDatatype="2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Order_Date]" caption="Order_Date" attribute="1" time="1" defaultMemberUniqueName="[Table3].[Order_Date].[All]" allUniqueName="[Table3].[Order_Date].[All]" dimensionUniqueName="[Table3]" displayFolder="" count="0" memberValueDatatype="7" unbalanced="0"/>
    <cacheHierarchy uniqueName="[Table3].[Branch_ID]" caption="Branch_ID" attribute="1" defaultMemberUniqueName="[Table3].[Branch_ID].[All]" allUniqueName="[Table3].[Branch_ID].[All]" dimensionUniqueName="[Table3]" displayFolder="" count="0" memberValueDatatype="130" unbalanced="0"/>
    <cacheHierarchy uniqueName="[Table3].[Waiter_ID]" caption="Waiter_ID" attribute="1" defaultMemberUniqueName="[Table3].[Waiter_ID].[All]" allUniqueName="[Table3].[Waiter_ID].[All]" dimensionUniqueName="[Table3]" displayFolder="" count="0" memberValueDatatype="130" unbalanced="0"/>
    <cacheHierarchy uniqueName="[Table3].[Payment_ID]" caption="Payment_ID" attribute="1" defaultMemberUniqueName="[Table3].[Payment_ID].[All]" allUniqueName="[Table3].[Payment_ID].[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Dining_Type]" caption="Dining_Type" attribute="1" defaultMemberUniqueName="[Table3].[Dining_Type].[All]" allUniqueName="[Table3].[Dining_Type].[All]" dimensionUniqueName="[Table3]" displayFolder="" count="2" memberValueDatatype="130" unbalanced="0">
      <fieldsUsage count="2">
        <fieldUsage x="-1"/>
        <fieldUsage x="0"/>
      </fieldsUsage>
    </cacheHierarchy>
    <cacheHierarchy uniqueName="[Table4].[Waiter_ID]" caption="Waiter_ID" attribute="1" defaultMemberUniqueName="[Table4].[Waiter_ID].[All]" allUniqueName="[Table4].[Waiter_ID].[All]" dimensionUniqueName="[Table4]" displayFolder="" count="0" memberValueDatatype="130" unbalanced="0"/>
    <cacheHierarchy uniqueName="[Table4].[Waiter_Name]" caption="Waiter_Name" attribute="1" defaultMemberUniqueName="[Table4].[Waiter_Name].[All]" allUniqueName="[Table4].[Waiter_Name].[All]" dimensionUniqueName="[Table4]" displayFolder="" count="0" memberValueDatatype="130" unbalanced="0"/>
    <cacheHierarchy uniqueName="[Table4].[Experience_Years]" caption="Experience_Years" attribute="1" defaultMemberUniqueName="[Table4].[Experience_Years].[All]" allUniqueName="[Table4].[Experience_Years].[All]" dimensionUniqueName="[Table4]" displayFolder="" count="0" memberValueDatatype="20" unbalanced="0"/>
    <cacheHierarchy uniqueName="[Table4].[Shift]" caption="Shift" attribute="1" defaultMemberUniqueName="[Table4].[Shift].[All]" allUniqueName="[Table4].[Shift].[All]" dimensionUniqueName="[Table4]" displayFolder="" count="0" memberValueDatatype="130" unbalanced="0"/>
    <cacheHierarchy uniqueName="[Table5].[Payment_ID]" caption="Payment_ID" attribute="1" defaultMemberUniqueName="[Table5].[Payment_ID].[All]" allUniqueName="[Table5].[Payment_ID].[All]" dimensionUniqueName="[Table5]" displayFolder="" count="0" memberValueDatatype="130" unbalanced="0"/>
    <cacheHierarchy uniqueName="[Table5].[Payment_Method]" caption="Payment_Method" attribute="1" defaultMemberUniqueName="[Table5].[Payment_Method].[All]" allUniqueName="[Table5].[Payment_Method].[All]" dimensionUniqueName="[Table5]" displayFolder="" count="0" memberValueDatatype="130" unbalanced="0"/>
    <cacheHierarchy uniqueName="[Table6].[Item_ID]" caption="Item_ID" attribute="1" defaultMemberUniqueName="[Table6].[Item_ID].[All]" allUniqueName="[Table6].[Item_ID].[All]" dimensionUniqueName="[Table6]" displayFolder="" count="0" memberValueDatatype="130" unbalanced="0"/>
    <cacheHierarchy uniqueName="[Table6].[Item_Name]" caption="Item_Name" attribute="1" defaultMemberUniqueName="[Table6].[Item_Name].[All]" allUniqueName="[Table6].[Item_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cacheHierarchy uniqueName="[Table6].[Price]" caption="Price" attribute="1" defaultMemberUniqueName="[Table6].[Price].[All]" allUniqueName="[Table6].[Price].[All]" dimensionUniqueName="[Table6]" displayFolder="" count="0" memberValueDatatype="20" unbalanced="0"/>
    <cacheHierarchy uniqueName="[Measures].[Sum of Order_ID]" caption="Sum of Order_ID" measure="1" displayFolder="" measureGroup="Table1" count="0">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Table1" count="0">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3"/>
        </ext>
      </extLst>
    </cacheHierarchy>
    <cacheHierarchy uniqueName="[Measures].[Sum of Sales_Amount]" caption="Sum of Sales_Amount" measure="1" displayFolder="" measureGroup="Table1" count="0" oneField="1">
      <fieldsUsage count="1">
        <fieldUsage x="1"/>
      </fieldsUsage>
      <extLst>
        <ext xmlns:x15="http://schemas.microsoft.com/office/spreadsheetml/2010/11/main" uri="{B97F6D7D-B522-45F9-BDA1-12C45D357490}">
          <x15:cacheHierarchy aggregatedColumn="4"/>
        </ext>
      </extLst>
    </cacheHierarchy>
    <cacheHierarchy uniqueName="[Measures].[Total Orders]" caption="Total Orders" measure="1" displayFolder="" measureGroup="Table1" count="0"/>
    <cacheHierarchy uniqueName="[Measures].[Unique orders]" caption="Unique orders" measure="1" displayFolder="" measureGroup="Table1" count="0"/>
    <cacheHierarchy uniqueName="[Measures].[Total Quntity sold]" caption="Total Quntity sold" measure="1" displayFolder="" measureGroup="Table1" count="0"/>
    <cacheHierarchy uniqueName="[Measures].[Total Sales]" caption="Total Sales"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14">
    <map measureGroup="0" dimension="1"/>
    <map measureGroup="0" dimension="2"/>
    <map measureGroup="0" dimension="3"/>
    <map measureGroup="0" dimension="4"/>
    <map measureGroup="0" dimension="5"/>
    <map measureGroup="0" dimension="6"/>
    <map measureGroup="1" dimension="2"/>
    <map measureGroup="2" dimension="2"/>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kotra" refreshedDate="46203.421003587966" backgroundQuery="1" createdVersion="8" refreshedVersion="8" minRefreshableVersion="3" recordCount="0" supportSubquery="1" supportAdvancedDrill="1" xr:uid="{4305ACC1-87B3-4ACE-BAEE-90B421CA5D7E}">
  <cacheSource type="external" connectionId="1"/>
  <cacheFields count="2">
    <cacheField name="[Measures].[Unique orders]" caption="Unique orders" numFmtId="0" hierarchy="33" level="32767"/>
    <cacheField name="[Table2].[Branch_Name].[Branch_Name]" caption="Branch_Name" numFmtId="0" hierarchy="8" level="1">
      <sharedItems containsSemiMixedTypes="0" containsNonDate="0" containsString="0"/>
    </cacheField>
  </cacheFields>
  <cacheHierarchies count="43">
    <cacheHierarchy uniqueName="[Table1].[Detail_ID]" caption="Detail_ID" attribute="1" defaultMemberUniqueName="[Table1].[Detail_ID].[All]" allUniqueName="[Table1].[Detail_ID].[All]" dimensionUniqueName="[Table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Item_ID]" caption="Item_ID" attribute="1" defaultMemberUniqueName="[Table1].[Item_ID].[All]" allUniqueName="[Table1].[Item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2].[Branch_ID]" caption="Branch_ID" attribute="1" defaultMemberUniqueName="[Table2].[Branch_ID].[All]" allUniqueName="[Table2].[Branch_ID].[All]" dimensionUniqueName="[Table2]" displayFolder="" count="0" memberValueDatatype="130" unbalanced="0"/>
    <cacheHierarchy uniqueName="[Table2].[Branch_Name]" caption="Branch_Name" attribute="1" defaultMemberUniqueName="[Table2].[Branch_Name].[All]" allUniqueName="[Table2].[Branch_Name].[All]" dimensionUniqueName="[Table2]" displayFolder="" count="2" memberValueDatatype="130" unbalanced="0">
      <fieldsUsage count="2">
        <fieldUsage x="-1"/>
        <fieldUsage x="1"/>
      </fieldsUsage>
    </cacheHierarchy>
    <cacheHierarchy uniqueName="[Table2].[City]" caption="City" attribute="1" defaultMemberUniqueName="[Table2].[City].[All]" allUniqueName="[Table2].[City].[All]" dimensionUniqueName="[Table2]" displayFolder="" count="0" memberValueDatatype="130" unbalanced="0"/>
    <cacheHierarchy uniqueName="[Table3].[Order_ID]" caption="Order_ID" attribute="1" defaultMemberUniqueName="[Table3].[Order_ID].[All]" allUniqueName="[Table3].[Order_ID].[All]" dimensionUniqueName="[Table3]" displayFolder="" count="0" memberValueDatatype="2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Order_Date]" caption="Order_Date" attribute="1" time="1" defaultMemberUniqueName="[Table3].[Order_Date].[All]" allUniqueName="[Table3].[Order_Date].[All]" dimensionUniqueName="[Table3]" displayFolder="" count="0" memberValueDatatype="7" unbalanced="0"/>
    <cacheHierarchy uniqueName="[Table3].[Branch_ID]" caption="Branch_ID" attribute="1" defaultMemberUniqueName="[Table3].[Branch_ID].[All]" allUniqueName="[Table3].[Branch_ID].[All]" dimensionUniqueName="[Table3]" displayFolder="" count="0" memberValueDatatype="130" unbalanced="0"/>
    <cacheHierarchy uniqueName="[Table3].[Waiter_ID]" caption="Waiter_ID" attribute="1" defaultMemberUniqueName="[Table3].[Waiter_ID].[All]" allUniqueName="[Table3].[Waiter_ID].[All]" dimensionUniqueName="[Table3]" displayFolder="" count="0" memberValueDatatype="130" unbalanced="0"/>
    <cacheHierarchy uniqueName="[Table3].[Payment_ID]" caption="Payment_ID" attribute="1" defaultMemberUniqueName="[Table3].[Payment_ID].[All]" allUniqueName="[Table3].[Payment_ID].[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Dining_Type]" caption="Dining_Type" attribute="1" defaultMemberUniqueName="[Table3].[Dining_Type].[All]" allUniqueName="[Table3].[Dining_Type].[All]" dimensionUniqueName="[Table3]" displayFolder="" count="2" memberValueDatatype="130" unbalanced="0"/>
    <cacheHierarchy uniqueName="[Table4].[Waiter_ID]" caption="Waiter_ID" attribute="1" defaultMemberUniqueName="[Table4].[Waiter_ID].[All]" allUniqueName="[Table4].[Waiter_ID].[All]" dimensionUniqueName="[Table4]" displayFolder="" count="0" memberValueDatatype="130" unbalanced="0"/>
    <cacheHierarchy uniqueName="[Table4].[Waiter_Name]" caption="Waiter_Name" attribute="1" defaultMemberUniqueName="[Table4].[Waiter_Name].[All]" allUniqueName="[Table4].[Waiter_Name].[All]" dimensionUniqueName="[Table4]" displayFolder="" count="0" memberValueDatatype="130" unbalanced="0"/>
    <cacheHierarchy uniqueName="[Table4].[Experience_Years]" caption="Experience_Years" attribute="1" defaultMemberUniqueName="[Table4].[Experience_Years].[All]" allUniqueName="[Table4].[Experience_Years].[All]" dimensionUniqueName="[Table4]" displayFolder="" count="0" memberValueDatatype="20" unbalanced="0"/>
    <cacheHierarchy uniqueName="[Table4].[Shift]" caption="Shift" attribute="1" defaultMemberUniqueName="[Table4].[Shift].[All]" allUniqueName="[Table4].[Shift].[All]" dimensionUniqueName="[Table4]" displayFolder="" count="0" memberValueDatatype="130" unbalanced="0"/>
    <cacheHierarchy uniqueName="[Table5].[Payment_ID]" caption="Payment_ID" attribute="1" defaultMemberUniqueName="[Table5].[Payment_ID].[All]" allUniqueName="[Table5].[Payment_ID].[All]" dimensionUniqueName="[Table5]" displayFolder="" count="0" memberValueDatatype="130" unbalanced="0"/>
    <cacheHierarchy uniqueName="[Table5].[Payment_Method]" caption="Payment_Method" attribute="1" defaultMemberUniqueName="[Table5].[Payment_Method].[All]" allUniqueName="[Table5].[Payment_Method].[All]" dimensionUniqueName="[Table5]" displayFolder="" count="0" memberValueDatatype="130" unbalanced="0"/>
    <cacheHierarchy uniqueName="[Table6].[Item_ID]" caption="Item_ID" attribute="1" defaultMemberUniqueName="[Table6].[Item_ID].[All]" allUniqueName="[Table6].[Item_ID].[All]" dimensionUniqueName="[Table6]" displayFolder="" count="0" memberValueDatatype="130" unbalanced="0"/>
    <cacheHierarchy uniqueName="[Table6].[Item_Name]" caption="Item_Name" attribute="1" defaultMemberUniqueName="[Table6].[Item_Name].[All]" allUniqueName="[Table6].[Item_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cacheHierarchy uniqueName="[Table6].[Price]" caption="Price" attribute="1" defaultMemberUniqueName="[Table6].[Price].[All]" allUniqueName="[Table6].[Price].[All]" dimensionUniqueName="[Table6]" displayFolder="" count="0" memberValueDatatype="20" unbalanced="0"/>
    <cacheHierarchy uniqueName="[Measures].[Sum of Order_ID]" caption="Sum of Order_ID" measure="1" displayFolder="" measureGroup="Table1" count="0">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Table1" count="0">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3"/>
        </ext>
      </extLst>
    </cacheHierarchy>
    <cacheHierarchy uniqueName="[Measures].[Sum of Sales_Amount]" caption="Sum of Sales_Amount" measure="1" displayFolder="" measureGroup="Table1" count="0">
      <extLst>
        <ext xmlns:x15="http://schemas.microsoft.com/office/spreadsheetml/2010/11/main" uri="{B97F6D7D-B522-45F9-BDA1-12C45D357490}">
          <x15:cacheHierarchy aggregatedColumn="4"/>
        </ext>
      </extLst>
    </cacheHierarchy>
    <cacheHierarchy uniqueName="[Measures].[Total Orders]" caption="Total Orders" measure="1" displayFolder="" measureGroup="Table1" count="0"/>
    <cacheHierarchy uniqueName="[Measures].[Unique orders]" caption="Unique orders" measure="1" displayFolder="" measureGroup="Table1" count="0" oneField="1">
      <fieldsUsage count="1">
        <fieldUsage x="0"/>
      </fieldsUsage>
    </cacheHierarchy>
    <cacheHierarchy uniqueName="[Measures].[Total Quntity sold]" caption="Total Quntity sold" measure="1" displayFolder="" measureGroup="Table1" count="0"/>
    <cacheHierarchy uniqueName="[Measures].[Total Sales]" caption="Total Sales"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14">
    <map measureGroup="0" dimension="1"/>
    <map measureGroup="0" dimension="2"/>
    <map measureGroup="0" dimension="3"/>
    <map measureGroup="0" dimension="4"/>
    <map measureGroup="0" dimension="5"/>
    <map measureGroup="0" dimension="6"/>
    <map measureGroup="1" dimension="2"/>
    <map measureGroup="2" dimension="2"/>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kotra" refreshedDate="46203.421003935182" backgroundQuery="1" createdVersion="8" refreshedVersion="8" minRefreshableVersion="3" recordCount="0" supportSubquery="1" supportAdvancedDrill="1" xr:uid="{95348E44-EB6B-4761-95F8-4142789B6F80}">
  <cacheSource type="external" connectionId="1"/>
  <cacheFields count="2">
    <cacheField name="[Measures].[Total Orders]" caption="Total Orders" numFmtId="0" hierarchy="32" level="32767"/>
    <cacheField name="[Table2].[Branch_Name].[Branch_Name]" caption="Branch_Name" numFmtId="0" hierarchy="8" level="1">
      <sharedItems containsSemiMixedTypes="0" containsNonDate="0" containsString="0"/>
    </cacheField>
  </cacheFields>
  <cacheHierarchies count="43">
    <cacheHierarchy uniqueName="[Table1].[Detail_ID]" caption="Detail_ID" attribute="1" defaultMemberUniqueName="[Table1].[Detail_ID].[All]" allUniqueName="[Table1].[Detail_ID].[All]" dimensionUniqueName="[Table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Item_ID]" caption="Item_ID" attribute="1" defaultMemberUniqueName="[Table1].[Item_ID].[All]" allUniqueName="[Table1].[Item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2].[Branch_ID]" caption="Branch_ID" attribute="1" defaultMemberUniqueName="[Table2].[Branch_ID].[All]" allUniqueName="[Table2].[Branch_ID].[All]" dimensionUniqueName="[Table2]" displayFolder="" count="0" memberValueDatatype="130" unbalanced="0"/>
    <cacheHierarchy uniqueName="[Table2].[Branch_Name]" caption="Branch_Name" attribute="1" defaultMemberUniqueName="[Table2].[Branch_Name].[All]" allUniqueName="[Table2].[Branch_Name].[All]" dimensionUniqueName="[Table2]" displayFolder="" count="2" memberValueDatatype="130" unbalanced="0">
      <fieldsUsage count="2">
        <fieldUsage x="-1"/>
        <fieldUsage x="1"/>
      </fieldsUsage>
    </cacheHierarchy>
    <cacheHierarchy uniqueName="[Table2].[City]" caption="City" attribute="1" defaultMemberUniqueName="[Table2].[City].[All]" allUniqueName="[Table2].[City].[All]" dimensionUniqueName="[Table2]" displayFolder="" count="0" memberValueDatatype="130" unbalanced="0"/>
    <cacheHierarchy uniqueName="[Table3].[Order_ID]" caption="Order_ID" attribute="1" defaultMemberUniqueName="[Table3].[Order_ID].[All]" allUniqueName="[Table3].[Order_ID].[All]" dimensionUniqueName="[Table3]" displayFolder="" count="0" memberValueDatatype="2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Order_Date]" caption="Order_Date" attribute="1" time="1" defaultMemberUniqueName="[Table3].[Order_Date].[All]" allUniqueName="[Table3].[Order_Date].[All]" dimensionUniqueName="[Table3]" displayFolder="" count="0" memberValueDatatype="7" unbalanced="0"/>
    <cacheHierarchy uniqueName="[Table3].[Branch_ID]" caption="Branch_ID" attribute="1" defaultMemberUniqueName="[Table3].[Branch_ID].[All]" allUniqueName="[Table3].[Branch_ID].[All]" dimensionUniqueName="[Table3]" displayFolder="" count="0" memberValueDatatype="130" unbalanced="0"/>
    <cacheHierarchy uniqueName="[Table3].[Waiter_ID]" caption="Waiter_ID" attribute="1" defaultMemberUniqueName="[Table3].[Waiter_ID].[All]" allUniqueName="[Table3].[Waiter_ID].[All]" dimensionUniqueName="[Table3]" displayFolder="" count="0" memberValueDatatype="130" unbalanced="0"/>
    <cacheHierarchy uniqueName="[Table3].[Payment_ID]" caption="Payment_ID" attribute="1" defaultMemberUniqueName="[Table3].[Payment_ID].[All]" allUniqueName="[Table3].[Payment_ID].[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Dining_Type]" caption="Dining_Type" attribute="1" defaultMemberUniqueName="[Table3].[Dining_Type].[All]" allUniqueName="[Table3].[Dining_Type].[All]" dimensionUniqueName="[Table3]" displayFolder="" count="2" memberValueDatatype="130" unbalanced="0"/>
    <cacheHierarchy uniqueName="[Table4].[Waiter_ID]" caption="Waiter_ID" attribute="1" defaultMemberUniqueName="[Table4].[Waiter_ID].[All]" allUniqueName="[Table4].[Waiter_ID].[All]" dimensionUniqueName="[Table4]" displayFolder="" count="0" memberValueDatatype="130" unbalanced="0"/>
    <cacheHierarchy uniqueName="[Table4].[Waiter_Name]" caption="Waiter_Name" attribute="1" defaultMemberUniqueName="[Table4].[Waiter_Name].[All]" allUniqueName="[Table4].[Waiter_Name].[All]" dimensionUniqueName="[Table4]" displayFolder="" count="0" memberValueDatatype="130" unbalanced="0"/>
    <cacheHierarchy uniqueName="[Table4].[Experience_Years]" caption="Experience_Years" attribute="1" defaultMemberUniqueName="[Table4].[Experience_Years].[All]" allUniqueName="[Table4].[Experience_Years].[All]" dimensionUniqueName="[Table4]" displayFolder="" count="0" memberValueDatatype="20" unbalanced="0"/>
    <cacheHierarchy uniqueName="[Table4].[Shift]" caption="Shift" attribute="1" defaultMemberUniqueName="[Table4].[Shift].[All]" allUniqueName="[Table4].[Shift].[All]" dimensionUniqueName="[Table4]" displayFolder="" count="0" memberValueDatatype="130" unbalanced="0"/>
    <cacheHierarchy uniqueName="[Table5].[Payment_ID]" caption="Payment_ID" attribute="1" defaultMemberUniqueName="[Table5].[Payment_ID].[All]" allUniqueName="[Table5].[Payment_ID].[All]" dimensionUniqueName="[Table5]" displayFolder="" count="0" memberValueDatatype="130" unbalanced="0"/>
    <cacheHierarchy uniqueName="[Table5].[Payment_Method]" caption="Payment_Method" attribute="1" defaultMemberUniqueName="[Table5].[Payment_Method].[All]" allUniqueName="[Table5].[Payment_Method].[All]" dimensionUniqueName="[Table5]" displayFolder="" count="0" memberValueDatatype="130" unbalanced="0"/>
    <cacheHierarchy uniqueName="[Table6].[Item_ID]" caption="Item_ID" attribute="1" defaultMemberUniqueName="[Table6].[Item_ID].[All]" allUniqueName="[Table6].[Item_ID].[All]" dimensionUniqueName="[Table6]" displayFolder="" count="0" memberValueDatatype="130" unbalanced="0"/>
    <cacheHierarchy uniqueName="[Table6].[Item_Name]" caption="Item_Name" attribute="1" defaultMemberUniqueName="[Table6].[Item_Name].[All]" allUniqueName="[Table6].[Item_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cacheHierarchy uniqueName="[Table6].[Price]" caption="Price" attribute="1" defaultMemberUniqueName="[Table6].[Price].[All]" allUniqueName="[Table6].[Price].[All]" dimensionUniqueName="[Table6]" displayFolder="" count="0" memberValueDatatype="20" unbalanced="0"/>
    <cacheHierarchy uniqueName="[Measures].[Sum of Order_ID]" caption="Sum of Order_ID" measure="1" displayFolder="" measureGroup="Table1" count="0">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Table1" count="0">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3"/>
        </ext>
      </extLst>
    </cacheHierarchy>
    <cacheHierarchy uniqueName="[Measures].[Sum of Sales_Amount]" caption="Sum of Sales_Amount" measure="1" displayFolder="" measureGroup="Table1" count="0">
      <extLst>
        <ext xmlns:x15="http://schemas.microsoft.com/office/spreadsheetml/2010/11/main" uri="{B97F6D7D-B522-45F9-BDA1-12C45D357490}">
          <x15:cacheHierarchy aggregatedColumn="4"/>
        </ext>
      </extLst>
    </cacheHierarchy>
    <cacheHierarchy uniqueName="[Measures].[Total Orders]" caption="Total Orders" measure="1" displayFolder="" measureGroup="Table1" count="0" oneField="1">
      <fieldsUsage count="1">
        <fieldUsage x="0"/>
      </fieldsUsage>
    </cacheHierarchy>
    <cacheHierarchy uniqueName="[Measures].[Unique orders]" caption="Unique orders" measure="1" displayFolder="" measureGroup="Table1" count="0"/>
    <cacheHierarchy uniqueName="[Measures].[Total Quntity sold]" caption="Total Quntity sold" measure="1" displayFolder="" measureGroup="Table1" count="0"/>
    <cacheHierarchy uniqueName="[Measures].[Total Sales]" caption="Total Sales"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14">
    <map measureGroup="0" dimension="1"/>
    <map measureGroup="0" dimension="2"/>
    <map measureGroup="0" dimension="3"/>
    <map measureGroup="0" dimension="4"/>
    <map measureGroup="0" dimension="5"/>
    <map measureGroup="0" dimension="6"/>
    <map measureGroup="1" dimension="2"/>
    <map measureGroup="2" dimension="2"/>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kotra" refreshedDate="46203.421004282405" backgroundQuery="1" createdVersion="8" refreshedVersion="8" minRefreshableVersion="3" recordCount="0" supportSubquery="1" supportAdvancedDrill="1" xr:uid="{D57B3A90-D48C-4565-B44F-AFE0B86A2586}">
  <cacheSource type="external" connectionId="1"/>
  <cacheFields count="2">
    <cacheField name="[Measures].[Total Quntity sold]" caption="Total Quntity sold" numFmtId="0" hierarchy="34" level="32767"/>
    <cacheField name="[Table2].[Branch_Name].[Branch_Name]" caption="Branch_Name" numFmtId="0" hierarchy="8" level="1">
      <sharedItems containsSemiMixedTypes="0" containsNonDate="0" containsString="0"/>
    </cacheField>
  </cacheFields>
  <cacheHierarchies count="43">
    <cacheHierarchy uniqueName="[Table1].[Detail_ID]" caption="Detail_ID" attribute="1" defaultMemberUniqueName="[Table1].[Detail_ID].[All]" allUniqueName="[Table1].[Detail_ID].[All]" dimensionUniqueName="[Table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Item_ID]" caption="Item_ID" attribute="1" defaultMemberUniqueName="[Table1].[Item_ID].[All]" allUniqueName="[Table1].[Item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2].[Branch_ID]" caption="Branch_ID" attribute="1" defaultMemberUniqueName="[Table2].[Branch_ID].[All]" allUniqueName="[Table2].[Branch_ID].[All]" dimensionUniqueName="[Table2]" displayFolder="" count="0" memberValueDatatype="130" unbalanced="0"/>
    <cacheHierarchy uniqueName="[Table2].[Branch_Name]" caption="Branch_Name" attribute="1" defaultMemberUniqueName="[Table2].[Branch_Name].[All]" allUniqueName="[Table2].[Branch_Name].[All]" dimensionUniqueName="[Table2]" displayFolder="" count="2" memberValueDatatype="130" unbalanced="0">
      <fieldsUsage count="2">
        <fieldUsage x="-1"/>
        <fieldUsage x="1"/>
      </fieldsUsage>
    </cacheHierarchy>
    <cacheHierarchy uniqueName="[Table2].[City]" caption="City" attribute="1" defaultMemberUniqueName="[Table2].[City].[All]" allUniqueName="[Table2].[City].[All]" dimensionUniqueName="[Table2]" displayFolder="" count="0" memberValueDatatype="130" unbalanced="0"/>
    <cacheHierarchy uniqueName="[Table3].[Order_ID]" caption="Order_ID" attribute="1" defaultMemberUniqueName="[Table3].[Order_ID].[All]" allUniqueName="[Table3].[Order_ID].[All]" dimensionUniqueName="[Table3]" displayFolder="" count="0" memberValueDatatype="2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Order_Date]" caption="Order_Date" attribute="1" time="1" defaultMemberUniqueName="[Table3].[Order_Date].[All]" allUniqueName="[Table3].[Order_Date].[All]" dimensionUniqueName="[Table3]" displayFolder="" count="0" memberValueDatatype="7" unbalanced="0"/>
    <cacheHierarchy uniqueName="[Table3].[Branch_ID]" caption="Branch_ID" attribute="1" defaultMemberUniqueName="[Table3].[Branch_ID].[All]" allUniqueName="[Table3].[Branch_ID].[All]" dimensionUniqueName="[Table3]" displayFolder="" count="0" memberValueDatatype="130" unbalanced="0"/>
    <cacheHierarchy uniqueName="[Table3].[Waiter_ID]" caption="Waiter_ID" attribute="1" defaultMemberUniqueName="[Table3].[Waiter_ID].[All]" allUniqueName="[Table3].[Waiter_ID].[All]" dimensionUniqueName="[Table3]" displayFolder="" count="0" memberValueDatatype="130" unbalanced="0"/>
    <cacheHierarchy uniqueName="[Table3].[Payment_ID]" caption="Payment_ID" attribute="1" defaultMemberUniqueName="[Table3].[Payment_ID].[All]" allUniqueName="[Table3].[Payment_ID].[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Dining_Type]" caption="Dining_Type" attribute="1" defaultMemberUniqueName="[Table3].[Dining_Type].[All]" allUniqueName="[Table3].[Dining_Type].[All]" dimensionUniqueName="[Table3]" displayFolder="" count="2" memberValueDatatype="130" unbalanced="0"/>
    <cacheHierarchy uniqueName="[Table4].[Waiter_ID]" caption="Waiter_ID" attribute="1" defaultMemberUniqueName="[Table4].[Waiter_ID].[All]" allUniqueName="[Table4].[Waiter_ID].[All]" dimensionUniqueName="[Table4]" displayFolder="" count="0" memberValueDatatype="130" unbalanced="0"/>
    <cacheHierarchy uniqueName="[Table4].[Waiter_Name]" caption="Waiter_Name" attribute="1" defaultMemberUniqueName="[Table4].[Waiter_Name].[All]" allUniqueName="[Table4].[Waiter_Name].[All]" dimensionUniqueName="[Table4]" displayFolder="" count="0" memberValueDatatype="130" unbalanced="0"/>
    <cacheHierarchy uniqueName="[Table4].[Experience_Years]" caption="Experience_Years" attribute="1" defaultMemberUniqueName="[Table4].[Experience_Years].[All]" allUniqueName="[Table4].[Experience_Years].[All]" dimensionUniqueName="[Table4]" displayFolder="" count="0" memberValueDatatype="20" unbalanced="0"/>
    <cacheHierarchy uniqueName="[Table4].[Shift]" caption="Shift" attribute="1" defaultMemberUniqueName="[Table4].[Shift].[All]" allUniqueName="[Table4].[Shift].[All]" dimensionUniqueName="[Table4]" displayFolder="" count="0" memberValueDatatype="130" unbalanced="0"/>
    <cacheHierarchy uniqueName="[Table5].[Payment_ID]" caption="Payment_ID" attribute="1" defaultMemberUniqueName="[Table5].[Payment_ID].[All]" allUniqueName="[Table5].[Payment_ID].[All]" dimensionUniqueName="[Table5]" displayFolder="" count="0" memberValueDatatype="130" unbalanced="0"/>
    <cacheHierarchy uniqueName="[Table5].[Payment_Method]" caption="Payment_Method" attribute="1" defaultMemberUniqueName="[Table5].[Payment_Method].[All]" allUniqueName="[Table5].[Payment_Method].[All]" dimensionUniqueName="[Table5]" displayFolder="" count="0" memberValueDatatype="130" unbalanced="0"/>
    <cacheHierarchy uniqueName="[Table6].[Item_ID]" caption="Item_ID" attribute="1" defaultMemberUniqueName="[Table6].[Item_ID].[All]" allUniqueName="[Table6].[Item_ID].[All]" dimensionUniqueName="[Table6]" displayFolder="" count="0" memberValueDatatype="130" unbalanced="0"/>
    <cacheHierarchy uniqueName="[Table6].[Item_Name]" caption="Item_Name" attribute="1" defaultMemberUniqueName="[Table6].[Item_Name].[All]" allUniqueName="[Table6].[Item_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cacheHierarchy uniqueName="[Table6].[Price]" caption="Price" attribute="1" defaultMemberUniqueName="[Table6].[Price].[All]" allUniqueName="[Table6].[Price].[All]" dimensionUniqueName="[Table6]" displayFolder="" count="0" memberValueDatatype="20" unbalanced="0"/>
    <cacheHierarchy uniqueName="[Measures].[Sum of Order_ID]" caption="Sum of Order_ID" measure="1" displayFolder="" measureGroup="Table1" count="0">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Table1" count="0">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3"/>
        </ext>
      </extLst>
    </cacheHierarchy>
    <cacheHierarchy uniqueName="[Measures].[Sum of Sales_Amount]" caption="Sum of Sales_Amount" measure="1" displayFolder="" measureGroup="Table1" count="0">
      <extLst>
        <ext xmlns:x15="http://schemas.microsoft.com/office/spreadsheetml/2010/11/main" uri="{B97F6D7D-B522-45F9-BDA1-12C45D357490}">
          <x15:cacheHierarchy aggregatedColumn="4"/>
        </ext>
      </extLst>
    </cacheHierarchy>
    <cacheHierarchy uniqueName="[Measures].[Total Orders]" caption="Total Orders" measure="1" displayFolder="" measureGroup="Table1" count="0"/>
    <cacheHierarchy uniqueName="[Measures].[Unique orders]" caption="Unique orders" measure="1" displayFolder="" measureGroup="Table1" count="0"/>
    <cacheHierarchy uniqueName="[Measures].[Total Quntity sold]" caption="Total Quntity sold" measure="1" displayFolder="" measureGroup="Table1" count="0" oneField="1">
      <fieldsUsage count="1">
        <fieldUsage x="0"/>
      </fieldsUsage>
    </cacheHierarchy>
    <cacheHierarchy uniqueName="[Measures].[Total Sales]" caption="Total Sales"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14">
    <map measureGroup="0" dimension="1"/>
    <map measureGroup="0" dimension="2"/>
    <map measureGroup="0" dimension="3"/>
    <map measureGroup="0" dimension="4"/>
    <map measureGroup="0" dimension="5"/>
    <map measureGroup="0" dimension="6"/>
    <map measureGroup="1" dimension="2"/>
    <map measureGroup="2" dimension="2"/>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kotra" refreshedDate="46203.421004629628" backgroundQuery="1" createdVersion="8" refreshedVersion="8" minRefreshableVersion="3" recordCount="0" supportSubquery="1" supportAdvancedDrill="1" xr:uid="{41A90CBB-BE07-449A-8F5E-8166372F7179}">
  <cacheSource type="external" connectionId="1"/>
  <cacheFields count="2">
    <cacheField name="[Measures].[Total Sales]" caption="Total Sales" numFmtId="0" hierarchy="35" level="32767"/>
    <cacheField name="[Table2].[Branch_Name].[Branch_Name]" caption="Branch_Name" numFmtId="0" hierarchy="8" level="1">
      <sharedItems containsSemiMixedTypes="0" containsNonDate="0" containsString="0"/>
    </cacheField>
  </cacheFields>
  <cacheHierarchies count="43">
    <cacheHierarchy uniqueName="[Table1].[Detail_ID]" caption="Detail_ID" attribute="1" defaultMemberUniqueName="[Table1].[Detail_ID].[All]" allUniqueName="[Table1].[Detail_ID].[All]" dimensionUniqueName="[Table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Item_ID]" caption="Item_ID" attribute="1" defaultMemberUniqueName="[Table1].[Item_ID].[All]" allUniqueName="[Table1].[Item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2].[Branch_ID]" caption="Branch_ID" attribute="1" defaultMemberUniqueName="[Table2].[Branch_ID].[All]" allUniqueName="[Table2].[Branch_ID].[All]" dimensionUniqueName="[Table2]" displayFolder="" count="0" memberValueDatatype="130" unbalanced="0"/>
    <cacheHierarchy uniqueName="[Table2].[Branch_Name]" caption="Branch_Name" attribute="1" defaultMemberUniqueName="[Table2].[Branch_Name].[All]" allUniqueName="[Table2].[Branch_Name].[All]" dimensionUniqueName="[Table2]" displayFolder="" count="2" memberValueDatatype="130" unbalanced="0">
      <fieldsUsage count="2">
        <fieldUsage x="-1"/>
        <fieldUsage x="1"/>
      </fieldsUsage>
    </cacheHierarchy>
    <cacheHierarchy uniqueName="[Table2].[City]" caption="City" attribute="1" defaultMemberUniqueName="[Table2].[City].[All]" allUniqueName="[Table2].[City].[All]" dimensionUniqueName="[Table2]" displayFolder="" count="0" memberValueDatatype="130" unbalanced="0"/>
    <cacheHierarchy uniqueName="[Table3].[Order_ID]" caption="Order_ID" attribute="1" defaultMemberUniqueName="[Table3].[Order_ID].[All]" allUniqueName="[Table3].[Order_ID].[All]" dimensionUniqueName="[Table3]" displayFolder="" count="0" memberValueDatatype="2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Order_Date]" caption="Order_Date" attribute="1" time="1" defaultMemberUniqueName="[Table3].[Order_Date].[All]" allUniqueName="[Table3].[Order_Date].[All]" dimensionUniqueName="[Table3]" displayFolder="" count="0" memberValueDatatype="7" unbalanced="0"/>
    <cacheHierarchy uniqueName="[Table3].[Branch_ID]" caption="Branch_ID" attribute="1" defaultMemberUniqueName="[Table3].[Branch_ID].[All]" allUniqueName="[Table3].[Branch_ID].[All]" dimensionUniqueName="[Table3]" displayFolder="" count="0" memberValueDatatype="130" unbalanced="0"/>
    <cacheHierarchy uniqueName="[Table3].[Waiter_ID]" caption="Waiter_ID" attribute="1" defaultMemberUniqueName="[Table3].[Waiter_ID].[All]" allUniqueName="[Table3].[Waiter_ID].[All]" dimensionUniqueName="[Table3]" displayFolder="" count="0" memberValueDatatype="130" unbalanced="0"/>
    <cacheHierarchy uniqueName="[Table3].[Payment_ID]" caption="Payment_ID" attribute="1" defaultMemberUniqueName="[Table3].[Payment_ID].[All]" allUniqueName="[Table3].[Payment_ID].[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Dining_Type]" caption="Dining_Type" attribute="1" defaultMemberUniqueName="[Table3].[Dining_Type].[All]" allUniqueName="[Table3].[Dining_Type].[All]" dimensionUniqueName="[Table3]" displayFolder="" count="2" memberValueDatatype="130" unbalanced="0"/>
    <cacheHierarchy uniqueName="[Table4].[Waiter_ID]" caption="Waiter_ID" attribute="1" defaultMemberUniqueName="[Table4].[Waiter_ID].[All]" allUniqueName="[Table4].[Waiter_ID].[All]" dimensionUniqueName="[Table4]" displayFolder="" count="0" memberValueDatatype="130" unbalanced="0"/>
    <cacheHierarchy uniqueName="[Table4].[Waiter_Name]" caption="Waiter_Name" attribute="1" defaultMemberUniqueName="[Table4].[Waiter_Name].[All]" allUniqueName="[Table4].[Waiter_Name].[All]" dimensionUniqueName="[Table4]" displayFolder="" count="0" memberValueDatatype="130" unbalanced="0"/>
    <cacheHierarchy uniqueName="[Table4].[Experience_Years]" caption="Experience_Years" attribute="1" defaultMemberUniqueName="[Table4].[Experience_Years].[All]" allUniqueName="[Table4].[Experience_Years].[All]" dimensionUniqueName="[Table4]" displayFolder="" count="0" memberValueDatatype="20" unbalanced="0"/>
    <cacheHierarchy uniqueName="[Table4].[Shift]" caption="Shift" attribute="1" defaultMemberUniqueName="[Table4].[Shift].[All]" allUniqueName="[Table4].[Shift].[All]" dimensionUniqueName="[Table4]" displayFolder="" count="0" memberValueDatatype="130" unbalanced="0"/>
    <cacheHierarchy uniqueName="[Table5].[Payment_ID]" caption="Payment_ID" attribute="1" defaultMemberUniqueName="[Table5].[Payment_ID].[All]" allUniqueName="[Table5].[Payment_ID].[All]" dimensionUniqueName="[Table5]" displayFolder="" count="0" memberValueDatatype="130" unbalanced="0"/>
    <cacheHierarchy uniqueName="[Table5].[Payment_Method]" caption="Payment_Method" attribute="1" defaultMemberUniqueName="[Table5].[Payment_Method].[All]" allUniqueName="[Table5].[Payment_Method].[All]" dimensionUniqueName="[Table5]" displayFolder="" count="0" memberValueDatatype="130" unbalanced="0"/>
    <cacheHierarchy uniqueName="[Table6].[Item_ID]" caption="Item_ID" attribute="1" defaultMemberUniqueName="[Table6].[Item_ID].[All]" allUniqueName="[Table6].[Item_ID].[All]" dimensionUniqueName="[Table6]" displayFolder="" count="0" memberValueDatatype="130" unbalanced="0"/>
    <cacheHierarchy uniqueName="[Table6].[Item_Name]" caption="Item_Name" attribute="1" defaultMemberUniqueName="[Table6].[Item_Name].[All]" allUniqueName="[Table6].[Item_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cacheHierarchy uniqueName="[Table6].[Price]" caption="Price" attribute="1" defaultMemberUniqueName="[Table6].[Price].[All]" allUniqueName="[Table6].[Price].[All]" dimensionUniqueName="[Table6]" displayFolder="" count="0" memberValueDatatype="20" unbalanced="0"/>
    <cacheHierarchy uniqueName="[Measures].[Sum of Order_ID]" caption="Sum of Order_ID" measure="1" displayFolder="" measureGroup="Table1" count="0">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Table1" count="0">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3"/>
        </ext>
      </extLst>
    </cacheHierarchy>
    <cacheHierarchy uniqueName="[Measures].[Sum of Sales_Amount]" caption="Sum of Sales_Amount" measure="1" displayFolder="" measureGroup="Table1" count="0">
      <extLst>
        <ext xmlns:x15="http://schemas.microsoft.com/office/spreadsheetml/2010/11/main" uri="{B97F6D7D-B522-45F9-BDA1-12C45D357490}">
          <x15:cacheHierarchy aggregatedColumn="4"/>
        </ext>
      </extLst>
    </cacheHierarchy>
    <cacheHierarchy uniqueName="[Measures].[Total Orders]" caption="Total Orders" measure="1" displayFolder="" measureGroup="Table1" count="0"/>
    <cacheHierarchy uniqueName="[Measures].[Unique orders]" caption="Unique orders" measure="1" displayFolder="" measureGroup="Table1" count="0"/>
    <cacheHierarchy uniqueName="[Measures].[Total Quntity sold]" caption="Total Quntity sold" measure="1" displayFolder="" measureGroup="Table1" count="0"/>
    <cacheHierarchy uniqueName="[Measures].[Total Sales]" caption="Total Sales"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ies>
  <kpis count="0"/>
  <dimensions count="7">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 name="Table6" uniqueName="[Table6]" caption="Table6"/>
  </dimensions>
  <measureGroups count="6">
    <measureGroup name="Table1" caption="Table1"/>
    <measureGroup name="Table2" caption="Table2"/>
    <measureGroup name="Table3" caption="Table3"/>
    <measureGroup name="Table4" caption="Table4"/>
    <measureGroup name="Table5" caption="Table5"/>
    <measureGroup name="Table6" caption="Table6"/>
  </measureGroups>
  <maps count="14">
    <map measureGroup="0" dimension="1"/>
    <map measureGroup="0" dimension="2"/>
    <map measureGroup="0" dimension="3"/>
    <map measureGroup="0" dimension="4"/>
    <map measureGroup="0" dimension="5"/>
    <map measureGroup="0" dimension="6"/>
    <map measureGroup="1" dimension="2"/>
    <map measureGroup="2" dimension="2"/>
    <map measureGroup="2" dimension="3"/>
    <map measureGroup="2" dimension="4"/>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 kumar kotra" refreshedDate="46195.475523148147" backgroundQuery="1" createdVersion="3" refreshedVersion="8" minRefreshableVersion="3" recordCount="0" supportSubquery="1" supportAdvancedDrill="1" xr:uid="{4FCE7C39-D943-4EAD-91EA-4F267CC6A392}">
  <cacheSource type="external" connectionId="1">
    <extLst>
      <ext xmlns:x14="http://schemas.microsoft.com/office/spreadsheetml/2009/9/main" uri="{F057638F-6D5F-4e77-A914-E7F072B9BCA8}">
        <x14:sourceConnection name="ThisWorkbookDataModel"/>
      </ext>
    </extLst>
  </cacheSource>
  <cacheFields count="0"/>
  <cacheHierarchies count="43">
    <cacheHierarchy uniqueName="[Table1].[Detail_ID]" caption="Detail_ID" attribute="1" defaultMemberUniqueName="[Table1].[Detail_ID].[All]" allUniqueName="[Table1].[Detail_ID].[All]" dimensionUniqueName="[Table1]" displayFolder="" count="0" memberValueDatatype="130" unbalanced="0"/>
    <cacheHierarchy uniqueName="[Table1].[Order_ID]" caption="Order_ID" attribute="1" defaultMemberUniqueName="[Table1].[Order_ID].[All]" allUniqueName="[Table1].[Order_ID].[All]" dimensionUniqueName="[Table1]" displayFolder="" count="0" memberValueDatatype="20" unbalanced="0"/>
    <cacheHierarchy uniqueName="[Table1].[Item_ID]" caption="Item_ID" attribute="1" defaultMemberUniqueName="[Table1].[Item_ID].[All]" allUniqueName="[Table1].[Item_I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Sales_Amount]" caption="Sales_Amount" attribute="1" defaultMemberUniqueName="[Table1].[Sales_Amount].[All]" allUniqueName="[Table1].[Sales_Amount].[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2].[Branch_ID]" caption="Branch_ID" attribute="1" defaultMemberUniqueName="[Table2].[Branch_ID].[All]" allUniqueName="[Table2].[Branch_ID].[All]" dimensionUniqueName="[Table2]" displayFolder="" count="0" memberValueDatatype="130" unbalanced="0"/>
    <cacheHierarchy uniqueName="[Table2].[Branch_Name]" caption="Branch_Name" attribute="1" defaultMemberUniqueName="[Table2].[Branch_Name].[All]" allUniqueName="[Table2].[Branch_Name].[All]" dimensionUniqueName="[Table2]" displayFolder="" count="2" memberValueDatatype="130" unbalanced="0"/>
    <cacheHierarchy uniqueName="[Table2].[City]" caption="City" attribute="1" defaultMemberUniqueName="[Table2].[City].[All]" allUniqueName="[Table2].[City].[All]" dimensionUniqueName="[Table2]" displayFolder="" count="0" memberValueDatatype="130" unbalanced="0"/>
    <cacheHierarchy uniqueName="[Table3].[Order_ID]" caption="Order_ID" attribute="1" defaultMemberUniqueName="[Table3].[Order_ID].[All]" allUniqueName="[Table3].[Order_ID].[All]" dimensionUniqueName="[Table3]" displayFolder="" count="0" memberValueDatatype="2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Order_Date]" caption="Order_Date" attribute="1" time="1" defaultMemberUniqueName="[Table3].[Order_Date].[All]" allUniqueName="[Table3].[Order_Date].[All]" dimensionUniqueName="[Table3]" displayFolder="" count="0" memberValueDatatype="7" unbalanced="0"/>
    <cacheHierarchy uniqueName="[Table3].[Branch_ID]" caption="Branch_ID" attribute="1" defaultMemberUniqueName="[Table3].[Branch_ID].[All]" allUniqueName="[Table3].[Branch_ID].[All]" dimensionUniqueName="[Table3]" displayFolder="" count="0" memberValueDatatype="130" unbalanced="0"/>
    <cacheHierarchy uniqueName="[Table3].[Waiter_ID]" caption="Waiter_ID" attribute="1" defaultMemberUniqueName="[Table3].[Waiter_ID].[All]" allUniqueName="[Table3].[Waiter_ID].[All]" dimensionUniqueName="[Table3]" displayFolder="" count="0" memberValueDatatype="130" unbalanced="0"/>
    <cacheHierarchy uniqueName="[Table3].[Payment_ID]" caption="Payment_ID" attribute="1" defaultMemberUniqueName="[Table3].[Payment_ID].[All]" allUniqueName="[Table3].[Payment_ID].[All]" dimensionUniqueName="[Table3]" displayFolder="" count="0" memberValueDatatype="130" unbalanced="0"/>
    <cacheHierarchy uniqueName="[Table3].[Total_Amount]" caption="Total_Amount" attribute="1" defaultMemberUniqueName="[Table3].[Total_Amount].[All]" allUniqueName="[Table3].[Total_Amount].[All]" dimensionUniqueName="[Table3]" displayFolder="" count="0" memberValueDatatype="20" unbalanced="0"/>
    <cacheHierarchy uniqueName="[Table3].[Dining_Type]" caption="Dining_Type" attribute="1" defaultMemberUniqueName="[Table3].[Dining_Type].[All]" allUniqueName="[Table3].[Dining_Type].[All]" dimensionUniqueName="[Table3]" displayFolder="" count="2" memberValueDatatype="130" unbalanced="0"/>
    <cacheHierarchy uniqueName="[Table4].[Waiter_ID]" caption="Waiter_ID" attribute="1" defaultMemberUniqueName="[Table4].[Waiter_ID].[All]" allUniqueName="[Table4].[Waiter_ID].[All]" dimensionUniqueName="[Table4]" displayFolder="" count="0" memberValueDatatype="130" unbalanced="0"/>
    <cacheHierarchy uniqueName="[Table4].[Waiter_Name]" caption="Waiter_Name" attribute="1" defaultMemberUniqueName="[Table4].[Waiter_Name].[All]" allUniqueName="[Table4].[Waiter_Name].[All]" dimensionUniqueName="[Table4]" displayFolder="" count="0" memberValueDatatype="130" unbalanced="0"/>
    <cacheHierarchy uniqueName="[Table4].[Experience_Years]" caption="Experience_Years" attribute="1" defaultMemberUniqueName="[Table4].[Experience_Years].[All]" allUniqueName="[Table4].[Experience_Years].[All]" dimensionUniqueName="[Table4]" displayFolder="" count="0" memberValueDatatype="20" unbalanced="0"/>
    <cacheHierarchy uniqueName="[Table4].[Shift]" caption="Shift" attribute="1" defaultMemberUniqueName="[Table4].[Shift].[All]" allUniqueName="[Table4].[Shift].[All]" dimensionUniqueName="[Table4]" displayFolder="" count="0" memberValueDatatype="130" unbalanced="0"/>
    <cacheHierarchy uniqueName="[Table5].[Payment_ID]" caption="Payment_ID" attribute="1" defaultMemberUniqueName="[Table5].[Payment_ID].[All]" allUniqueName="[Table5].[Payment_ID].[All]" dimensionUniqueName="[Table5]" displayFolder="" count="0" memberValueDatatype="130" unbalanced="0"/>
    <cacheHierarchy uniqueName="[Table5].[Payment_Method]" caption="Payment_Method" attribute="1" defaultMemberUniqueName="[Table5].[Payment_Method].[All]" allUniqueName="[Table5].[Payment_Method].[All]" dimensionUniqueName="[Table5]" displayFolder="" count="0" memberValueDatatype="130" unbalanced="0"/>
    <cacheHierarchy uniqueName="[Table6].[Item_ID]" caption="Item_ID" attribute="1" defaultMemberUniqueName="[Table6].[Item_ID].[All]" allUniqueName="[Table6].[Item_ID].[All]" dimensionUniqueName="[Table6]" displayFolder="" count="0" memberValueDatatype="130" unbalanced="0"/>
    <cacheHierarchy uniqueName="[Table6].[Item_Name]" caption="Item_Name" attribute="1" defaultMemberUniqueName="[Table6].[Item_Name].[All]" allUniqueName="[Table6].[Item_Name].[All]" dimensionUniqueName="[Table6]" displayFolder="" count="0" memberValueDatatype="130" unbalanced="0"/>
    <cacheHierarchy uniqueName="[Table6].[Category]" caption="Category" attribute="1" defaultMemberUniqueName="[Table6].[Category].[All]" allUniqueName="[Table6].[Category].[All]" dimensionUniqueName="[Table6]" displayFolder="" count="2" memberValueDatatype="130" unbalanced="0"/>
    <cacheHierarchy uniqueName="[Table6].[Price]" caption="Price" attribute="1" defaultMemberUniqueName="[Table6].[Price].[All]" allUniqueName="[Table6].[Price].[All]" dimensionUniqueName="[Table6]" displayFolder="" count="0" memberValueDatatype="20" unbalanced="0"/>
    <cacheHierarchy uniqueName="[Measures].[Sum of Order_ID]" caption="Sum of Order_ID" measure="1" displayFolder="" measureGroup="Table1" count="0">
      <extLst>
        <ext xmlns:x15="http://schemas.microsoft.com/office/spreadsheetml/2010/11/main" uri="{B97F6D7D-B522-45F9-BDA1-12C45D357490}">
          <x15:cacheHierarchy aggregatedColumn="1"/>
        </ext>
      </extLst>
    </cacheHierarchy>
    <cacheHierarchy uniqueName="[Measures].[Count of Order_ID]" caption="Count of Order_ID" measure="1" displayFolder="" measureGroup="Table1" count="0">
      <extLst>
        <ext xmlns:x15="http://schemas.microsoft.com/office/spreadsheetml/2010/11/main" uri="{B97F6D7D-B522-45F9-BDA1-12C45D357490}">
          <x15:cacheHierarchy aggregatedColumn="1"/>
        </ext>
      </extLst>
    </cacheHierarchy>
    <cacheHierarchy uniqueName="[Measures].[Sum of Quantity]" caption="Sum of Quantity" measure="1" displayFolder="" measureGroup="Table1" count="0">
      <extLst>
        <ext xmlns:x15="http://schemas.microsoft.com/office/spreadsheetml/2010/11/main" uri="{B97F6D7D-B522-45F9-BDA1-12C45D357490}">
          <x15:cacheHierarchy aggregatedColumn="3"/>
        </ext>
      </extLst>
    </cacheHierarchy>
    <cacheHierarchy uniqueName="[Measures].[Sum of Sales_Amount]" caption="Sum of Sales_Amount" measure="1" displayFolder="" measureGroup="Table1" count="0">
      <extLst>
        <ext xmlns:x15="http://schemas.microsoft.com/office/spreadsheetml/2010/11/main" uri="{B97F6D7D-B522-45F9-BDA1-12C45D357490}">
          <x15:cacheHierarchy aggregatedColumn="4"/>
        </ext>
      </extLst>
    </cacheHierarchy>
    <cacheHierarchy uniqueName="[Measures].[Total Orders]" caption="Total Orders" measure="1" displayFolder="" measureGroup="Table1" count="0"/>
    <cacheHierarchy uniqueName="[Measures].[Unique orders]" caption="Unique orders" measure="1" displayFolder="" measureGroup="Table1" count="0"/>
    <cacheHierarchy uniqueName="[Measures].[Total Quntity sold]" caption="Total Quntity sold" measure="1" displayFolder="" measureGroup="Table1" count="0"/>
    <cacheHierarchy uniqueName="[Measures].[Total Sales]" caption="Total Sales" measure="1" displayFolder="" measureGroup="Table1" count="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069174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77B561-21DB-4EA5-AF6D-71F96B2CF8DA}" name="PivotTable9" cacheId="160" applyNumberFormats="0" applyBorderFormats="0" applyFontFormats="0" applyPatternFormats="0" applyAlignmentFormats="0" applyWidthHeightFormats="1" dataCaption="Values" tag="e6845e07-5b1c-4650-8914-fe311676016d" updatedVersion="8" minRefreshableVersion="3" useAutoFormatting="1" itemPrintTitles="1" createdVersion="8" indent="0" outline="1" outlineData="1" multipleFieldFilters="0">
  <location ref="D42:D4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pivotHierarchies count="4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BB224E-945D-4D5D-97B3-E1D20B7021B4}" name="PivotTable8" cacheId="157" applyNumberFormats="0" applyBorderFormats="0" applyFontFormats="0" applyPatternFormats="0" applyAlignmentFormats="0" applyWidthHeightFormats="1" dataCaption="Values" tag="98f16e1f-d73b-4763-b0f9-6beb6c52769c" updatedVersion="8" minRefreshableVersion="3" useAutoFormatting="1" itemPrintTitles="1" createdVersion="8" indent="0" outline="1" outlineData="1" multipleFieldFilters="0">
  <location ref="B42:B4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20B924-8AF8-459E-BAD6-ADE5ACFB8F55}" name="PivotTable2" cacheId="136" applyNumberFormats="0" applyBorderFormats="0" applyFontFormats="0" applyPatternFormats="0" applyAlignmentFormats="0" applyWidthHeightFormats="1" dataCaption="Values" tag="cfc29b58-3da7-4462-895e-b83a2bf55971" updatedVersion="8" minRefreshableVersion="3" useAutoFormatting="1" subtotalHiddenItems="1" itemPrintTitles="1" createdVersion="8" indent="0" outline="1" outlineData="1" multipleFieldFilters="0" chartFormat="32" rowHeaderCaption="Category">
  <location ref="A11:B1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Total Sales_Amount" fld="0" baseField="0" baseItem="0"/>
  </dataFields>
  <chartFormats count="2">
    <chartFormat chart="9"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Total Sales_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6]"/>
        <x15:activeTabTopLevelEntity name="[Table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DC7390-8C04-45C5-A100-FCC84B7B2BD4}" name="PivotTable7" cacheId="154" applyNumberFormats="0" applyBorderFormats="0" applyFontFormats="0" applyPatternFormats="0" applyAlignmentFormats="0" applyWidthHeightFormats="1" dataCaption="Values" tag="32f1d73e-f94b-4dd9-aa60-476236fdc9cc" updatedVersion="8" minRefreshableVersion="3" itemPrintTitles="1" createdVersion="8" indent="0" outline="1" outlineData="1" multipleFieldFilters="0">
  <location ref="A42:A4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6]"/>
        <x15:activeTabTopLevelEntity name="[Table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72425F-346D-47F1-B654-45545CB62278}" name="PivotTable4" cacheId="142" applyNumberFormats="0" applyBorderFormats="0" applyFontFormats="0" applyPatternFormats="0" applyAlignmentFormats="0" applyWidthHeightFormats="1" dataCaption="Values" tag="fbbdf84d-e516-464c-998d-f231c6938e19" updatedVersion="8" minRefreshableVersion="3" useAutoFormatting="1" subtotalHiddenItems="1" itemPrintTitles="1" createdVersion="8" indent="0" outline="1" outlineData="1" multipleFieldFilters="0" chartFormat="37" rowHeaderCaption="Months">
  <location ref="H23:I28" firstHeaderRow="1" firstDataRow="1" firstDataCol="1"/>
  <pivotFields count="3">
    <pivotField axis="axisRow" allDrilled="1" subtotalTop="0" showAll="0" sortType="ascending" defaultSubtotal="0" defaultAttributeDrillState="1">
      <items count="4">
        <item x="2"/>
        <item x="1"/>
        <item x="3"/>
        <item x="0"/>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Total Sales_Amount" fld="1" baseField="0" baseItem="0"/>
  </dataFields>
  <chartFormats count="3">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Total Sales_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6]"/>
        <x15:activeTabTopLevelEntity name="[Table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344512-4F71-4651-9ECD-1B14264AFC8A}" name="PivotTable3" cacheId="139" applyNumberFormats="0" applyBorderFormats="0" applyFontFormats="0" applyPatternFormats="0" applyAlignmentFormats="0" applyWidthHeightFormats="1" dataCaption="Values" tag="b7765eaa-51a1-42b8-8bc8-014c927d0d41" updatedVersion="8" minRefreshableVersion="3" useAutoFormatting="1" subtotalHiddenItems="1" itemPrintTitles="1" createdVersion="8" indent="0" outline="1" outlineData="1" multipleFieldFilters="0" chartFormat="26" rowHeaderCaption="Waiter Names">
  <location ref="A23:B34"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Total Sales_Amount" fld="0" baseField="0" baseItem="0"/>
  </dataFields>
  <chartFormats count="3">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Total Sales_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4]"/>
        <x15:activeTabTopLevelEntity name="[Table6]"/>
        <x15:activeTabTopLevelEntity name="[Table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DA352D-1340-4C23-8340-E374A8649F4B}" name="PivotTable6" cacheId="148" applyNumberFormats="0" applyBorderFormats="0" applyFontFormats="0" applyPatternFormats="0" applyAlignmentFormats="0" applyWidthHeightFormats="1" dataCaption="Values" tag="25f82fab-250b-4ae5-879e-9c1b752c3ad2" updatedVersion="8" minRefreshableVersion="3" useAutoFormatting="1" subtotalHiddenItems="1" itemPrintTitles="1" createdVersion="8" indent="0" outline="1" outlineData="1" multipleFieldFilters="0" chartFormat="27" rowHeaderCaption="TYPE">
  <location ref="H1:I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_Amount" fld="1" baseField="0" baseItem="0"/>
  </dataFields>
  <chartFormats count="12">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4" format="7">
      <pivotArea type="data" outline="0" fieldPosition="0">
        <references count="2">
          <reference field="4294967294" count="1" selected="0">
            <x v="0"/>
          </reference>
          <reference field="0"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0" count="1" selected="0">
            <x v="0"/>
          </reference>
        </references>
      </pivotArea>
    </chartFormat>
    <chartFormat chart="14" format="10">
      <pivotArea type="data" outline="0" fieldPosition="0">
        <references count="2">
          <reference field="4294967294" count="1" selected="0">
            <x v="0"/>
          </reference>
          <reference field="0" count="1" selected="0">
            <x v="1"/>
          </reference>
        </references>
      </pivotArea>
    </chartFormat>
    <chartFormat chart="14" format="11">
      <pivotArea type="data" outline="0" fieldPosition="0">
        <references count="2">
          <reference field="4294967294" count="1" selected="0">
            <x v="0"/>
          </reference>
          <reference field="0" count="1" selected="0">
            <x v="2"/>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Table1]"/>
        <x15:activeTabTopLevelEntity name="[Table6]"/>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A5D6AC-BF36-41C0-ABCB-93DFD5ABC8D6}" name="PivotTable1" cacheId="133" applyNumberFormats="0" applyBorderFormats="0" applyFontFormats="0" applyPatternFormats="0" applyAlignmentFormats="0" applyWidthHeightFormats="1" dataCaption="Values" tag="3c48aff8-5242-4284-8870-15ca6d032770" updatedVersion="8" minRefreshableVersion="3" useAutoFormatting="1" subtotalHiddenItems="1" itemPrintTitles="1" createdVersion="8" indent="0" outline="1" outlineData="1" multipleFieldFilters="0" chartFormat="25" rowHeaderCaption="Branch Name">
  <location ref="A1:B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Total Sales_Amount" fld="1" baseField="0" baseItem="0"/>
  </dataFields>
  <chartFormats count="2">
    <chartFormat chart="10"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Total Sales_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activeTabTopLevelEntity name="[Table6]"/>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29EC26-58E2-46C5-B833-4D242FAF6CFD}" name="PivotTable10" cacheId="151" applyNumberFormats="0" applyBorderFormats="0" applyFontFormats="0" applyPatternFormats="0" applyAlignmentFormats="0" applyWidthHeightFormats="1" dataCaption="Values" tag="c913be87-2c5d-4f1f-a10f-cb9d032f42a9" updatedVersion="8" minRefreshableVersion="3" itemPrintTitles="1" createdVersion="8" indent="0" outline="1" outlineData="1" multipleFieldFilters="0">
  <location ref="C42:C4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BEF5DB-9953-486E-982C-003549A9FCC9}" name="PivotTable5" cacheId="145" applyNumberFormats="0" applyBorderFormats="0" applyFontFormats="0" applyPatternFormats="0" applyAlignmentFormats="0" applyWidthHeightFormats="1" dataCaption="Values" tag="41bd59f6-231d-4d69-8402-7d5c940f1b2f" updatedVersion="8" minRefreshableVersion="3" useAutoFormatting="1" subtotalHiddenItems="1" itemPrintTitles="1" createdVersion="8" indent="0" outline="1" outlineData="1" multipleFieldFilters="0" chartFormat="34" rowHeaderCaption="Payment Mode">
  <location ref="H11:I1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 Sales_Amount" fld="0" baseField="0" baseItem="0"/>
  </dataFields>
  <chartFormats count="15">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 count="1" selected="0">
            <x v="0"/>
          </reference>
        </references>
      </pivotArea>
    </chartFormat>
    <chartFormat chart="10" format="7">
      <pivotArea type="data" outline="0" fieldPosition="0">
        <references count="2">
          <reference field="4294967294" count="1" selected="0">
            <x v="0"/>
          </reference>
          <reference field="1" count="1" selected="0">
            <x v="1"/>
          </reference>
        </references>
      </pivotArea>
    </chartFormat>
    <chartFormat chart="10" format="8">
      <pivotArea type="data" outline="0" fieldPosition="0">
        <references count="2">
          <reference field="4294967294" count="1" selected="0">
            <x v="0"/>
          </reference>
          <reference field="1" count="1" selected="0">
            <x v="2"/>
          </reference>
        </references>
      </pivotArea>
    </chartFormat>
    <chartFormat chart="10" format="9">
      <pivotArea type="data" outline="0" fieldPosition="0">
        <references count="2">
          <reference field="4294967294" count="1" selected="0">
            <x v="0"/>
          </reference>
          <reference field="1"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 count="1" selected="0">
            <x v="0"/>
          </reference>
        </references>
      </pivotArea>
    </chartFormat>
    <chartFormat chart="11" format="12">
      <pivotArea type="data" outline="0" fieldPosition="0">
        <references count="2">
          <reference field="4294967294" count="1" selected="0">
            <x v="0"/>
          </reference>
          <reference field="1" count="1" selected="0">
            <x v="1"/>
          </reference>
        </references>
      </pivotArea>
    </chartFormat>
    <chartFormat chart="11" format="13">
      <pivotArea type="data" outline="0" fieldPosition="0">
        <references count="2">
          <reference field="4294967294" count="1" selected="0">
            <x v="0"/>
          </reference>
          <reference field="1" count="1" selected="0">
            <x v="2"/>
          </reference>
        </references>
      </pivotArea>
    </chartFormat>
    <chartFormat chart="11" format="14">
      <pivotArea type="data" outline="0" fieldPosition="0">
        <references count="2">
          <reference field="4294967294" count="1" selected="0">
            <x v="0"/>
          </reference>
          <reference field="1" count="1" selected="0">
            <x v="3"/>
          </reference>
        </references>
      </pivotArea>
    </chartFormat>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1" count="1" selected="0">
            <x v="0"/>
          </reference>
        </references>
      </pivotArea>
    </chartFormat>
    <chartFormat chart="20" format="12">
      <pivotArea type="data" outline="0" fieldPosition="0">
        <references count="2">
          <reference field="4294967294" count="1" selected="0">
            <x v="0"/>
          </reference>
          <reference field="1" count="1" selected="0">
            <x v="1"/>
          </reference>
        </references>
      </pivotArea>
    </chartFormat>
    <chartFormat chart="20" format="13">
      <pivotArea type="data" outline="0" fieldPosition="0">
        <references count="2">
          <reference field="4294967294" count="1" selected="0">
            <x v="0"/>
          </reference>
          <reference field="1" count="1" selected="0">
            <x v="2"/>
          </reference>
        </references>
      </pivotArea>
    </chartFormat>
    <chartFormat chart="20" format="14">
      <pivotArea type="data" outline="0" fieldPosition="0">
        <references count="2">
          <reference field="4294967294" count="1" selected="0">
            <x v="0"/>
          </reference>
          <reference field="1" count="1" selected="0">
            <x v="3"/>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caption=" Sales_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6]"/>
        <x15:activeTabTopLevelEntity name="[Table2]"/>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181BA11-171E-4ED0-B94C-B6A72DE1E66F}" sourceName="[Table6].[Category]">
  <pivotTables>
    <pivotTable tabId="7" name="PivotTable2"/>
    <pivotTable tabId="7" name="PivotTable1"/>
    <pivotTable tabId="7" name="PivotTable3"/>
    <pivotTable tabId="7" name="PivotTable4"/>
    <pivotTable tabId="7" name="PivotTable5"/>
    <pivotTable tabId="7" name="PivotTable6"/>
    <pivotTable tabId="7" name="PivotTable10"/>
    <pivotTable tabId="7" name="PivotTable7"/>
    <pivotTable tabId="7" name="PivotTable8"/>
    <pivotTable tabId="7" name="PivotTable9"/>
  </pivotTables>
  <data>
    <olap pivotCacheId="406917466">
      <levels count="2">
        <level uniqueName="[Table6].[Category].[(All)]" sourceCaption="(All)" count="0"/>
        <level uniqueName="[Table6].[Category].[Category]" sourceCaption="Category" count="6">
          <ranges>
            <range startItem="0">
              <i n="[Table6].[Category].&amp;[Beverage]" c="Beverage"/>
              <i n="[Table6].[Category].&amp;[Dessert]" c="Dessert"/>
              <i n="[Table6].[Category].&amp;[Fast Food]" c="Fast Food"/>
              <i n="[Table6].[Category].&amp;[Main Course]" c="Main Course"/>
              <i n="[Table6].[Category].&amp;[Snacks]" c="Snacks"/>
              <i n="[Table6].[Category].&amp;[Starter]" c="Starter"/>
            </range>
          </ranges>
        </level>
      </levels>
      <selections count="1">
        <selection n="[Table6].[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F02BE2B1-8009-431A-8840-974041411B4E}" sourceName="[Table2].[Branch_Name]">
  <pivotTables>
    <pivotTable tabId="7" name="PivotTable1"/>
    <pivotTable tabId="7" name="PivotTable2"/>
    <pivotTable tabId="7" name="PivotTable3"/>
    <pivotTable tabId="7" name="PivotTable4"/>
    <pivotTable tabId="7" name="PivotTable5"/>
    <pivotTable tabId="7" name="PivotTable6"/>
    <pivotTable tabId="7" name="PivotTable10"/>
    <pivotTable tabId="7" name="PivotTable7"/>
    <pivotTable tabId="7" name="PivotTable8"/>
    <pivotTable tabId="7" name="PivotTable9"/>
  </pivotTables>
  <data>
    <olap pivotCacheId="406917466">
      <levels count="2">
        <level uniqueName="[Table2].[Branch_Name].[(All)]" sourceCaption="(All)" count="0"/>
        <level uniqueName="[Table2].[Branch_Name].[Branch_Name]" sourceCaption="Branch_Name" count="5">
          <ranges>
            <range startItem="0">
              <i n="[Table2].[Branch_Name].&amp;[Food Fiesta]" c="Food Fiesta"/>
              <i n="[Table2].[Branch_Name].&amp;[Paradise Restaurant]" c="Paradise Restaurant"/>
              <i n="[Table2].[Branch_Name].&amp;[Royal Dine]" c="Royal Dine"/>
              <i n="[Table2].[Branch_Name].&amp;[Spice Hub]" c="Spice Hub"/>
              <i n="[Table2].[Branch_Name].&amp;[Urban Kitchen]" c="Urban Kitchen"/>
            </range>
          </ranges>
        </level>
      </levels>
      <selections count="1">
        <selection n="[Table2].[Branch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ning_Type" xr10:uid="{6E379061-6BB6-434C-92D3-81DDCFBFBBA2}" sourceName="[Table3].[Dining_Type]">
  <pivotTables>
    <pivotTable tabId="7" name="PivotTable6"/>
    <pivotTable tabId="7" name="PivotTable1"/>
    <pivotTable tabId="7" name="PivotTable2"/>
    <pivotTable tabId="7" name="PivotTable3"/>
    <pivotTable tabId="7" name="PivotTable4"/>
    <pivotTable tabId="7" name="PivotTable5"/>
    <pivotTable tabId="7" name="PivotTable10"/>
    <pivotTable tabId="7" name="PivotTable7"/>
    <pivotTable tabId="7" name="PivotTable8"/>
    <pivotTable tabId="7" name="PivotTable9"/>
  </pivotTables>
  <data>
    <olap pivotCacheId="406917466">
      <levels count="2">
        <level uniqueName="[Table3].[Dining_Type].[(All)]" sourceCaption="(All)" count="0"/>
        <level uniqueName="[Table3].[Dining_Type].[Dining_Type]" sourceCaption="Dining_Type" count="3">
          <ranges>
            <range startItem="0">
              <i n="[Table3].[Dining_Type].&amp;[Delivery]" c="Delivery"/>
              <i n="[Table3].[Dining_Type].&amp;[Dine-In]" c="Dine-In"/>
              <i n="[Table3].[Dining_Type].&amp;[Takeaway]" c="Takeaway"/>
            </range>
          </ranges>
        </level>
      </levels>
      <selections count="1">
        <selection n="[Table3].[Dining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B52BE70-E05C-4262-89AD-51FEEFAA0872}" cache="Slicer_Category" caption="Category" level="1" style="SlicerStyleDark5" rowHeight="241300"/>
  <slicer name="Branch_Name 1" xr10:uid="{C1F42B7E-5EE4-4F81-B1C3-C72A62B74BC7}" cache="Slicer_Branch_Name" caption="Branch_Name" level="1" style="SlicerStyleDark5" rowHeight="241300"/>
  <slicer name="Dining_Type 1" xr10:uid="{DAE14791-9C67-4F84-B63B-C7E454111D9C}" cache="Slicer_Dining_Type" caption="Dining_Type" level="1"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2B3124-426F-4112-9A9E-8EEC94D6DA70}" name="Table1" displayName="Table1" ref="A1:G251" totalsRowShown="0">
  <autoFilter ref="A1:G251" xr:uid="{AD2B3124-426F-4112-9A9E-8EEC94D6DA70}"/>
  <tableColumns count="7">
    <tableColumn id="1" xr3:uid="{A3FFD538-4B8F-4C57-905D-727370BA5E4A}" name="Detail_ID"/>
    <tableColumn id="2" xr3:uid="{7D866B6C-E610-4D4C-A5C3-D93DD7309ED4}" name="Order_ID"/>
    <tableColumn id="3" xr3:uid="{8D0CBD5B-478A-4D7B-A68E-A6ECDB5BBCFE}" name="Item_ID"/>
    <tableColumn id="4" xr3:uid="{1C809C46-637A-459E-A143-55B3762AD698}" name="Quantity"/>
    <tableColumn id="5" xr3:uid="{210DB156-22CD-449B-9529-5412DC8EFBDC}" name="Sales_Amount"/>
    <tableColumn id="6" xr3:uid="{6B9F5D9E-1AF8-47CA-A05E-1C6BB5A46816}" name="Month"/>
    <tableColumn id="7" xr3:uid="{C60C8AFE-9447-4626-916A-5E028764B866}" name="Year"/>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62D62A7-E27F-4FBB-85EC-B586A5935E41}" name="Table7" displayName="Table7" ref="I9:Q256" totalsRowShown="0">
  <autoFilter ref="I9:Q256" xr:uid="{D62D62A7-E27F-4FBB-85EC-B586A5935E41}"/>
  <tableColumns count="9">
    <tableColumn id="1" xr3:uid="{E593D7CD-0A86-448A-A699-B5B5F96E78A3}" name="Total Unique Orders" dataDxfId="1">
      <calculatedColumnFormula>COUNTA(_xlfn.UNIQUE(B$2:B251))</calculatedColumnFormula>
    </tableColumn>
    <tableColumn id="9" xr3:uid="{5D2CCF41-A89A-4841-9658-67958ED4232F}" name="Total orders"/>
    <tableColumn id="2" xr3:uid="{F517C652-F174-4C3D-85C0-63212A57270B}" name="Total sales amount"/>
    <tableColumn id="3" xr3:uid="{FFA69E33-92D3-42C9-95F9-233F4A1800A1}" name="Total Quntity sold"/>
    <tableColumn id="4" xr3:uid="{D364F6B4-7F5A-4758-91AC-278C9ECEFE52}" name="Item_Name By Item_ID">
      <calculatedColumnFormula>_xlfn.XLOOKUP(C2,Menu_Items!$A$2:$A$21,Menu_Items!$B$2:$B$21,"Not Found")</calculatedColumnFormula>
    </tableColumn>
    <tableColumn id="5" xr3:uid="{792C6793-F9EA-4F78-B847-4BD7BF1B7ADF}" name="Branch_Name BY Branch_Id"/>
    <tableColumn id="6" xr3:uid="{CBA1D6CB-AD4C-45B7-A29D-B8FE8D784FA9}" name="Waiter_Name BY Waiter_Id"/>
    <tableColumn id="7" xr3:uid="{9BEF119F-9195-401E-846F-DC60E981C004}" name="Sales_Category">
      <calculatedColumnFormula>IF(E2&gt;=1000,"High_Sales","Normal_Sales")</calculatedColumnFormula>
    </tableColumn>
    <tableColumn id="8" xr3:uid="{9A7DBC0D-8DA3-4EA8-87FE-4881270AF297}" name="Classify_Orders">
      <calculatedColumnFormula>IF(Orders!G2&gt;=500,"Premium","Regular")</calculatedColumnFormula>
    </tableColumn>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A21CDB-E6C7-454A-B50A-75D16E4BF97A}" name="Table2" displayName="Table2" ref="A1:C6" totalsRowShown="0">
  <autoFilter ref="A1:C6" xr:uid="{31A21CDB-E6C7-454A-B50A-75D16E4BF97A}"/>
  <tableColumns count="3">
    <tableColumn id="1" xr3:uid="{237DC9B6-9F1D-436D-8D4F-EAF7133DCA61}" name="Branch_ID"/>
    <tableColumn id="2" xr3:uid="{0F2AE387-A144-42C9-8E32-04292AB8D8B1}" name="Branch_Name"/>
    <tableColumn id="3" xr3:uid="{5C2907C6-F04F-485A-84D8-58F5079B136A}" name="City"/>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B6DCFE-DDCF-4E30-847D-6A13856D7019}" name="Table3" displayName="Table3" ref="A1:H101" totalsRowShown="0">
  <autoFilter ref="A1:H101" xr:uid="{54B6DCFE-DDCF-4E30-847D-6A13856D7019}"/>
  <tableColumns count="8">
    <tableColumn id="1" xr3:uid="{F4C3E233-CBB6-44EB-84BE-89C627F55498}" name="Order_ID"/>
    <tableColumn id="2" xr3:uid="{0F893FB7-AA04-451D-8731-66B8A8780426}" name="Customer_Name"/>
    <tableColumn id="3" xr3:uid="{5ADA6E45-0AD9-4013-A271-DC72EBE2E619}" name="Order_Date" dataDxfId="0"/>
    <tableColumn id="4" xr3:uid="{017DD4AE-DB44-4F37-9E45-BD30C39AEA38}" name="Branch_ID"/>
    <tableColumn id="5" xr3:uid="{529B08AA-8BA3-474D-8D2A-245E331E3C78}" name="Waiter_ID"/>
    <tableColumn id="6" xr3:uid="{49C56F95-3188-4A8E-B363-DB499EB2747D}" name="Payment_ID"/>
    <tableColumn id="7" xr3:uid="{F103F699-79A1-4770-88C3-F680D1D845B1}" name="Total_Amount"/>
    <tableColumn id="8" xr3:uid="{BDDAD6E0-8311-4CDA-BB1A-8D1110082CEF}" name="Dining_Type"/>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7122C3-26EE-48D0-B43C-70B87FD05B77}" name="Table4" displayName="Table4" ref="A1:D11" totalsRowShown="0">
  <autoFilter ref="A1:D11" xr:uid="{A97122C3-26EE-48D0-B43C-70B87FD05B77}"/>
  <tableColumns count="4">
    <tableColumn id="1" xr3:uid="{43D8A779-69D5-436E-AFD1-99DA5DCED7C5}" name="Waiter_ID"/>
    <tableColumn id="2" xr3:uid="{F95E9435-0C81-47F1-8FA8-2A1C071A7308}" name="Waiter_Name"/>
    <tableColumn id="3" xr3:uid="{C31F4909-3EEA-4739-BB23-EE38CD090DE9}" name="Experience_Years"/>
    <tableColumn id="4" xr3:uid="{086EBA21-A2BF-49CE-9D4D-40B1B4511ADF}" name="Shift"/>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0FE6FA2-D57B-42CE-93D8-82B639C5A1AB}" name="Table5" displayName="Table5" ref="A1:B5" totalsRowShown="0">
  <autoFilter ref="A1:B5" xr:uid="{E0FE6FA2-D57B-42CE-93D8-82B639C5A1AB}"/>
  <tableColumns count="2">
    <tableColumn id="1" xr3:uid="{A176925F-E772-4B61-8432-4CDDABF36FB0}" name="Payment_ID"/>
    <tableColumn id="2" xr3:uid="{2F3DA507-B506-4D14-812B-0A577F5FFCE9}" name="Payment_Method"/>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C87C1E-F343-4B88-B404-9665C638099D}" name="Table6" displayName="Table6" ref="A1:D21" totalsRowShown="0">
  <autoFilter ref="A1:D21" xr:uid="{14C87C1E-F343-4B88-B404-9665C638099D}"/>
  <tableColumns count="4">
    <tableColumn id="1" xr3:uid="{2B857C8E-E158-4B8E-97C0-55D984CF41EF}" name="Item_ID"/>
    <tableColumn id="2" xr3:uid="{04D6223B-AF40-4E2F-8665-C770420FE8C4}" name="Item_Name"/>
    <tableColumn id="3" xr3:uid="{90E40852-0E40-4BFC-95AB-2261AE06A8BC}" name="Category"/>
    <tableColumn id="4" xr3:uid="{4D90194A-37AB-4E0F-93A2-DB3E54C8C5F1}" name="Pri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ctrlProp" Target="../ctrlProps/ctrlProp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vmlDrawing" Target="../drawings/vmlDrawing1.v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3.xml"/><Relationship Id="rId6" Type="http://schemas.microsoft.com/office/2007/relationships/slicer" Target="../slicers/slicer1.xml"/><Relationship Id="rId5" Type="http://schemas.openxmlformats.org/officeDocument/2006/relationships/ctrlProp" Target="../ctrlProps/ctrlProp4.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dimension ref="A1:Q256"/>
  <sheetViews>
    <sheetView topLeftCell="A4" zoomScale="61" workbookViewId="0">
      <selection activeCell="T5" sqref="T5"/>
    </sheetView>
  </sheetViews>
  <sheetFormatPr defaultRowHeight="15" x14ac:dyDescent="0.25"/>
  <cols>
    <col min="1" max="1" width="11.28515625" customWidth="1"/>
    <col min="2" max="2" width="11.140625" customWidth="1"/>
    <col min="3" max="3" width="10.140625" customWidth="1"/>
    <col min="4" max="4" width="10.85546875" customWidth="1"/>
    <col min="5" max="5" width="15.85546875" customWidth="1"/>
    <col min="9" max="9" width="21.85546875" customWidth="1"/>
    <col min="10" max="10" width="14.42578125" customWidth="1"/>
    <col min="11" max="11" width="19.7109375" customWidth="1"/>
    <col min="12" max="12" width="18.85546875" customWidth="1"/>
    <col min="13" max="13" width="23.5703125" customWidth="1"/>
    <col min="14" max="14" width="27.28515625" customWidth="1"/>
    <col min="15" max="15" width="27.5703125" customWidth="1"/>
    <col min="16" max="16" width="16.5703125" customWidth="1"/>
    <col min="17" max="17" width="17.140625" customWidth="1"/>
  </cols>
  <sheetData>
    <row r="1" spans="1:17" x14ac:dyDescent="0.25">
      <c r="A1" t="s">
        <v>130</v>
      </c>
      <c r="B1" t="s">
        <v>104</v>
      </c>
      <c r="C1" t="s">
        <v>54</v>
      </c>
      <c r="D1" t="s">
        <v>131</v>
      </c>
      <c r="E1" t="s">
        <v>132</v>
      </c>
      <c r="F1" t="s">
        <v>133</v>
      </c>
      <c r="G1" t="s">
        <v>134</v>
      </c>
    </row>
    <row r="2" spans="1:17" x14ac:dyDescent="0.25">
      <c r="A2" t="s">
        <v>135</v>
      </c>
      <c r="B2">
        <v>1001</v>
      </c>
      <c r="C2" t="s">
        <v>58</v>
      </c>
      <c r="D2">
        <v>1</v>
      </c>
      <c r="E2">
        <v>250</v>
      </c>
      <c r="F2" t="s">
        <v>136</v>
      </c>
      <c r="G2">
        <v>2026</v>
      </c>
    </row>
    <row r="3" spans="1:17" x14ac:dyDescent="0.25">
      <c r="A3" t="s">
        <v>137</v>
      </c>
      <c r="B3">
        <v>1001</v>
      </c>
      <c r="C3" t="s">
        <v>61</v>
      </c>
      <c r="D3">
        <v>2</v>
      </c>
      <c r="E3">
        <v>700</v>
      </c>
      <c r="F3" t="s">
        <v>136</v>
      </c>
      <c r="G3">
        <v>2026</v>
      </c>
    </row>
    <row r="4" spans="1:17" x14ac:dyDescent="0.25">
      <c r="A4" t="s">
        <v>138</v>
      </c>
      <c r="B4">
        <v>1002</v>
      </c>
      <c r="C4" t="s">
        <v>61</v>
      </c>
      <c r="D4">
        <v>1</v>
      </c>
      <c r="E4">
        <v>350</v>
      </c>
      <c r="F4" t="s">
        <v>136</v>
      </c>
      <c r="G4">
        <v>2026</v>
      </c>
    </row>
    <row r="5" spans="1:17" x14ac:dyDescent="0.25">
      <c r="A5" t="s">
        <v>139</v>
      </c>
      <c r="B5">
        <v>1002</v>
      </c>
      <c r="C5" t="s">
        <v>63</v>
      </c>
      <c r="D5">
        <v>2</v>
      </c>
      <c r="E5">
        <v>560</v>
      </c>
      <c r="F5" t="s">
        <v>136</v>
      </c>
      <c r="G5">
        <v>2026</v>
      </c>
    </row>
    <row r="6" spans="1:17" x14ac:dyDescent="0.25">
      <c r="A6" t="s">
        <v>140</v>
      </c>
      <c r="B6">
        <v>1002</v>
      </c>
      <c r="C6" t="s">
        <v>65</v>
      </c>
      <c r="D6">
        <v>3</v>
      </c>
      <c r="E6">
        <v>1350</v>
      </c>
      <c r="F6" t="s">
        <v>136</v>
      </c>
      <c r="G6">
        <v>2026</v>
      </c>
    </row>
    <row r="7" spans="1:17" x14ac:dyDescent="0.25">
      <c r="A7" t="s">
        <v>141</v>
      </c>
      <c r="B7">
        <v>1003</v>
      </c>
      <c r="C7" t="s">
        <v>63</v>
      </c>
      <c r="D7">
        <v>1</v>
      </c>
      <c r="E7">
        <v>280</v>
      </c>
      <c r="F7" t="s">
        <v>136</v>
      </c>
      <c r="G7">
        <v>2026</v>
      </c>
      <c r="I7" t="s">
        <v>389</v>
      </c>
      <c r="K7" t="s">
        <v>390</v>
      </c>
      <c r="L7" t="s">
        <v>391</v>
      </c>
      <c r="M7" t="s">
        <v>392</v>
      </c>
      <c r="N7" t="s">
        <v>405</v>
      </c>
      <c r="O7" t="s">
        <v>406</v>
      </c>
      <c r="P7" t="s">
        <v>407</v>
      </c>
      <c r="Q7" t="s">
        <v>408</v>
      </c>
    </row>
    <row r="8" spans="1:17" x14ac:dyDescent="0.25">
      <c r="A8" t="s">
        <v>142</v>
      </c>
      <c r="B8">
        <v>1003</v>
      </c>
      <c r="C8" t="s">
        <v>65</v>
      </c>
      <c r="D8">
        <v>2</v>
      </c>
      <c r="E8">
        <v>900</v>
      </c>
      <c r="F8" t="s">
        <v>136</v>
      </c>
      <c r="G8">
        <v>2026</v>
      </c>
    </row>
    <row r="9" spans="1:17" x14ac:dyDescent="0.25">
      <c r="A9" t="s">
        <v>143</v>
      </c>
      <c r="B9">
        <v>1004</v>
      </c>
      <c r="C9" t="s">
        <v>65</v>
      </c>
      <c r="D9">
        <v>1</v>
      </c>
      <c r="E9">
        <v>450</v>
      </c>
      <c r="F9" t="s">
        <v>136</v>
      </c>
      <c r="G9">
        <v>2026</v>
      </c>
      <c r="I9" t="s">
        <v>413</v>
      </c>
      <c r="J9" t="s">
        <v>414</v>
      </c>
      <c r="K9" t="s">
        <v>386</v>
      </c>
      <c r="L9" t="s">
        <v>387</v>
      </c>
      <c r="M9" t="s">
        <v>388</v>
      </c>
      <c r="N9" t="s">
        <v>410</v>
      </c>
      <c r="O9" t="s">
        <v>409</v>
      </c>
      <c r="P9" t="s">
        <v>411</v>
      </c>
      <c r="Q9" t="s">
        <v>412</v>
      </c>
    </row>
    <row r="10" spans="1:17" x14ac:dyDescent="0.25">
      <c r="A10" t="s">
        <v>144</v>
      </c>
      <c r="B10">
        <v>1004</v>
      </c>
      <c r="C10" t="s">
        <v>68</v>
      </c>
      <c r="D10">
        <v>2</v>
      </c>
      <c r="E10">
        <v>360</v>
      </c>
      <c r="F10" t="s">
        <v>136</v>
      </c>
      <c r="G10">
        <v>2026</v>
      </c>
      <c r="I10" s="2">
        <f>COUNTA(_xlfn.UNIQUE(B$2:B251))</f>
        <v>100</v>
      </c>
      <c r="J10" s="2">
        <f>COUNT(Table1[Order_ID])</f>
        <v>250</v>
      </c>
      <c r="K10" s="2">
        <f>SUM(Table1[Sales_Amount])</f>
        <v>90450</v>
      </c>
      <c r="L10" s="2">
        <f>SUM(Table1[[#All],[Quantity]])</f>
        <v>450</v>
      </c>
      <c r="M10" t="str">
        <f>_xlfn.XLOOKUP(C2,Menu_Items!$A$2:$A$21,Menu_Items!$B$2:$B$21,"Not Found")</f>
        <v>Veg Biryani</v>
      </c>
      <c r="N10" t="str">
        <f>_xlfn.XLOOKUP(Orders!D2,Branches!$A$2:$A$6,Branches!$B$2:$B$6,FALSE)</f>
        <v>Paradise Restaurant</v>
      </c>
      <c r="O10" t="str">
        <f>_xlfn.XLOOKUP(Orders!E2,Waiters!$A$2:$A$11,Waiters!$B$2:$B$11,FALSE)</f>
        <v>Mahesh</v>
      </c>
      <c r="P10" t="str">
        <f t="shared" ref="P10:P73" si="0">IF(E2&gt;=1000,"High_Sales","Normal_Sales")</f>
        <v>Normal_Sales</v>
      </c>
      <c r="Q10" t="str">
        <f>IF(Orders!G2&gt;=500,"Premium","Regular")</f>
        <v>Regular</v>
      </c>
    </row>
    <row r="11" spans="1:17" x14ac:dyDescent="0.25">
      <c r="A11" t="s">
        <v>145</v>
      </c>
      <c r="B11">
        <v>1004</v>
      </c>
      <c r="C11" t="s">
        <v>70</v>
      </c>
      <c r="D11">
        <v>3</v>
      </c>
      <c r="E11">
        <v>360</v>
      </c>
      <c r="F11" t="s">
        <v>136</v>
      </c>
      <c r="G11">
        <v>2026</v>
      </c>
      <c r="M11" t="str">
        <f>_xlfn.XLOOKUP(C3,Menu_Items!$A$2:$A$21,Menu_Items!$B$2:$B$21,"Not Found")</f>
        <v>Chicken Biryani</v>
      </c>
      <c r="N11" t="str">
        <f>_xlfn.XLOOKUP(Orders!D3,Branches!$A$2:$A$6,Branches!$B$2:$B$6,FALSE)</f>
        <v>Spice Hub</v>
      </c>
      <c r="O11" t="str">
        <f>_xlfn.XLOOKUP(Orders!E3,Waiters!$A$2:$A$11,Waiters!$B$2:$B$11,FALSE)</f>
        <v>Kiran</v>
      </c>
      <c r="P11" t="str">
        <f t="shared" si="0"/>
        <v>Normal_Sales</v>
      </c>
      <c r="Q11" t="str">
        <f>IF(Orders!G3&gt;=500,"Premium","Regular")</f>
        <v>Premium</v>
      </c>
    </row>
    <row r="12" spans="1:17" x14ac:dyDescent="0.25">
      <c r="A12" t="s">
        <v>146</v>
      </c>
      <c r="B12">
        <v>1005</v>
      </c>
      <c r="C12" t="s">
        <v>68</v>
      </c>
      <c r="D12">
        <v>1</v>
      </c>
      <c r="E12">
        <v>180</v>
      </c>
      <c r="F12" t="s">
        <v>136</v>
      </c>
      <c r="G12">
        <v>2026</v>
      </c>
      <c r="M12" t="str">
        <f>_xlfn.XLOOKUP(C4,Menu_Items!$A$2:$A$21,Menu_Items!$B$2:$B$21,"Not Found")</f>
        <v>Chicken Biryani</v>
      </c>
      <c r="N12" t="str">
        <f>_xlfn.XLOOKUP(Orders!D4,Branches!$A$2:$A$6,Branches!$B$2:$B$6,FALSE)</f>
        <v>Food Fiesta</v>
      </c>
      <c r="O12" t="str">
        <f>_xlfn.XLOOKUP(Orders!E4,Waiters!$A$2:$A$11,Waiters!$B$2:$B$11,FALSE)</f>
        <v>Ramesh</v>
      </c>
      <c r="P12" t="str">
        <f t="shared" si="0"/>
        <v>Normal_Sales</v>
      </c>
      <c r="Q12" t="str">
        <f>IF(Orders!G4&gt;=500,"Premium","Regular")</f>
        <v>Premium</v>
      </c>
    </row>
    <row r="13" spans="1:17" x14ac:dyDescent="0.25">
      <c r="A13" t="s">
        <v>147</v>
      </c>
      <c r="B13">
        <v>1005</v>
      </c>
      <c r="C13" t="s">
        <v>70</v>
      </c>
      <c r="D13">
        <v>2</v>
      </c>
      <c r="E13">
        <v>240</v>
      </c>
      <c r="F13" t="s">
        <v>136</v>
      </c>
      <c r="G13">
        <v>2026</v>
      </c>
      <c r="M13" t="str">
        <f>_xlfn.XLOOKUP(C5,Menu_Items!$A$2:$A$21,Menu_Items!$B$2:$B$21,"Not Found")</f>
        <v>Paneer Butter Masala</v>
      </c>
      <c r="N13" t="str">
        <f>_xlfn.XLOOKUP(Orders!D5,Branches!$A$2:$A$6,Branches!$B$2:$B$6,FALSE)</f>
        <v>Royal Dine</v>
      </c>
      <c r="O13" t="str">
        <f>_xlfn.XLOOKUP(Orders!E5,Waiters!$A$2:$A$11,Waiters!$B$2:$B$11,FALSE)</f>
        <v>Praveen</v>
      </c>
      <c r="P13" t="str">
        <f t="shared" si="0"/>
        <v>Normal_Sales</v>
      </c>
      <c r="Q13" t="str">
        <f>IF(Orders!G5&gt;=500,"Premium","Regular")</f>
        <v>Premium</v>
      </c>
    </row>
    <row r="14" spans="1:17" x14ac:dyDescent="0.25">
      <c r="A14" t="s">
        <v>148</v>
      </c>
      <c r="B14">
        <v>1006</v>
      </c>
      <c r="C14" t="s">
        <v>70</v>
      </c>
      <c r="D14">
        <v>1</v>
      </c>
      <c r="E14">
        <v>120</v>
      </c>
      <c r="F14" t="s">
        <v>136</v>
      </c>
      <c r="G14">
        <v>2026</v>
      </c>
      <c r="M14" t="str">
        <f>_xlfn.XLOOKUP(C6,Menu_Items!$A$2:$A$21,Menu_Items!$B$2:$B$21,"Not Found")</f>
        <v>Pizza</v>
      </c>
      <c r="N14" t="str">
        <f>_xlfn.XLOOKUP(Orders!D6,Branches!$A$2:$A$6,Branches!$B$2:$B$6,FALSE)</f>
        <v>Urban Kitchen</v>
      </c>
      <c r="O14" t="str">
        <f>_xlfn.XLOOKUP(Orders!E6,Waiters!$A$2:$A$11,Waiters!$B$2:$B$11,FALSE)</f>
        <v>Suresh</v>
      </c>
      <c r="P14" t="str">
        <f t="shared" si="0"/>
        <v>High_Sales</v>
      </c>
      <c r="Q14" t="str">
        <f>IF(Orders!G6&gt;=500,"Premium","Regular")</f>
        <v>Premium</v>
      </c>
    </row>
    <row r="15" spans="1:17" x14ac:dyDescent="0.25">
      <c r="A15" t="s">
        <v>149</v>
      </c>
      <c r="B15">
        <v>1006</v>
      </c>
      <c r="C15" t="s">
        <v>73</v>
      </c>
      <c r="D15">
        <v>2</v>
      </c>
      <c r="E15">
        <v>440</v>
      </c>
      <c r="F15" t="s">
        <v>136</v>
      </c>
      <c r="G15">
        <v>2026</v>
      </c>
      <c r="M15" t="str">
        <f>_xlfn.XLOOKUP(C7,Menu_Items!$A$2:$A$21,Menu_Items!$B$2:$B$21,"Not Found")</f>
        <v>Paneer Butter Masala</v>
      </c>
      <c r="N15" t="str">
        <f>_xlfn.XLOOKUP(Orders!D7,Branches!$A$2:$A$6,Branches!$B$2:$B$6,FALSE)</f>
        <v>Paradise Restaurant</v>
      </c>
      <c r="O15" t="str">
        <f>_xlfn.XLOOKUP(Orders!E7,Waiters!$A$2:$A$11,Waiters!$B$2:$B$11,FALSE)</f>
        <v>Naveen</v>
      </c>
      <c r="P15" t="str">
        <f t="shared" si="0"/>
        <v>Normal_Sales</v>
      </c>
      <c r="Q15" t="str">
        <f>IF(Orders!G7&gt;=500,"Premium","Regular")</f>
        <v>Premium</v>
      </c>
    </row>
    <row r="16" spans="1:17" x14ac:dyDescent="0.25">
      <c r="A16" t="s">
        <v>150</v>
      </c>
      <c r="B16">
        <v>1006</v>
      </c>
      <c r="C16" t="s">
        <v>75</v>
      </c>
      <c r="D16">
        <v>3</v>
      </c>
      <c r="E16">
        <v>720</v>
      </c>
      <c r="F16" t="s">
        <v>399</v>
      </c>
      <c r="G16">
        <v>2026</v>
      </c>
      <c r="M16" t="str">
        <f>_xlfn.XLOOKUP(C8,Menu_Items!$A$2:$A$21,Menu_Items!$B$2:$B$21,"Not Found")</f>
        <v>Pizza</v>
      </c>
      <c r="N16" t="str">
        <f>_xlfn.XLOOKUP(Orders!D8,Branches!$A$2:$A$6,Branches!$B$2:$B$6,FALSE)</f>
        <v>Spice Hub</v>
      </c>
      <c r="O16" t="str">
        <f>_xlfn.XLOOKUP(Orders!E8,Waiters!$A$2:$A$11,Waiters!$B$2:$B$11,FALSE)</f>
        <v>Ajay</v>
      </c>
      <c r="P16" t="str">
        <f t="shared" si="0"/>
        <v>Normal_Sales</v>
      </c>
      <c r="Q16" t="str">
        <f>IF(Orders!G8&gt;=500,"Premium","Regular")</f>
        <v>Premium</v>
      </c>
    </row>
    <row r="17" spans="1:17" x14ac:dyDescent="0.25">
      <c r="A17" t="s">
        <v>151</v>
      </c>
      <c r="B17">
        <v>1007</v>
      </c>
      <c r="C17" t="s">
        <v>73</v>
      </c>
      <c r="D17">
        <v>1</v>
      </c>
      <c r="E17">
        <v>220</v>
      </c>
      <c r="F17" t="s">
        <v>136</v>
      </c>
      <c r="G17">
        <v>2026</v>
      </c>
      <c r="M17" t="str">
        <f>_xlfn.XLOOKUP(C9,Menu_Items!$A$2:$A$21,Menu_Items!$B$2:$B$21,"Not Found")</f>
        <v>Pizza</v>
      </c>
      <c r="N17" t="str">
        <f>_xlfn.XLOOKUP(Orders!D9,Branches!$A$2:$A$6,Branches!$B$2:$B$6,FALSE)</f>
        <v>Food Fiesta</v>
      </c>
      <c r="O17" t="str">
        <f>_xlfn.XLOOKUP(Orders!E9,Waiters!$A$2:$A$11,Waiters!$B$2:$B$11,FALSE)</f>
        <v>Vinod</v>
      </c>
      <c r="P17" t="str">
        <f t="shared" si="0"/>
        <v>Normal_Sales</v>
      </c>
      <c r="Q17" t="str">
        <f>IF(Orders!G9&gt;=500,"Premium","Regular")</f>
        <v>Premium</v>
      </c>
    </row>
    <row r="18" spans="1:17" x14ac:dyDescent="0.25">
      <c r="A18" t="s">
        <v>152</v>
      </c>
      <c r="B18">
        <v>1007</v>
      </c>
      <c r="C18" t="s">
        <v>75</v>
      </c>
      <c r="D18">
        <v>2</v>
      </c>
      <c r="E18">
        <v>480</v>
      </c>
      <c r="F18" t="s">
        <v>136</v>
      </c>
      <c r="G18">
        <v>2026</v>
      </c>
      <c r="M18" t="str">
        <f>_xlfn.XLOOKUP(C10,Menu_Items!$A$2:$A$21,Menu_Items!$B$2:$B$21,"Not Found")</f>
        <v>Burger</v>
      </c>
      <c r="N18" t="str">
        <f>_xlfn.XLOOKUP(Orders!D10,Branches!$A$2:$A$6,Branches!$B$2:$B$6,FALSE)</f>
        <v>Royal Dine</v>
      </c>
      <c r="O18" t="str">
        <f>_xlfn.XLOOKUP(Orders!E10,Waiters!$A$2:$A$11,Waiters!$B$2:$B$11,FALSE)</f>
        <v>Arjun</v>
      </c>
      <c r="P18" t="str">
        <f t="shared" si="0"/>
        <v>Normal_Sales</v>
      </c>
      <c r="Q18" t="str">
        <f>IF(Orders!G10&gt;=500,"Premium","Regular")</f>
        <v>Premium</v>
      </c>
    </row>
    <row r="19" spans="1:17" x14ac:dyDescent="0.25">
      <c r="A19" t="s">
        <v>153</v>
      </c>
      <c r="B19">
        <v>1008</v>
      </c>
      <c r="C19" t="s">
        <v>75</v>
      </c>
      <c r="D19">
        <v>1</v>
      </c>
      <c r="E19">
        <v>240</v>
      </c>
      <c r="F19" t="s">
        <v>136</v>
      </c>
      <c r="G19">
        <v>2026</v>
      </c>
      <c r="M19" t="str">
        <f>_xlfn.XLOOKUP(C11,Menu_Items!$A$2:$A$21,Menu_Items!$B$2:$B$21,"Not Found")</f>
        <v>French Fries</v>
      </c>
      <c r="N19" t="str">
        <f>_xlfn.XLOOKUP(Orders!D11,Branches!$A$2:$A$6,Branches!$B$2:$B$6,FALSE)</f>
        <v>Urban Kitchen</v>
      </c>
      <c r="O19" t="str">
        <f>_xlfn.XLOOKUP(Orders!E11,Waiters!$A$2:$A$11,Waiters!$B$2:$B$11,FALSE)</f>
        <v>Teja</v>
      </c>
      <c r="P19" t="str">
        <f t="shared" si="0"/>
        <v>Normal_Sales</v>
      </c>
      <c r="Q19" t="str">
        <f>IF(Orders!G11&gt;=500,"Premium","Regular")</f>
        <v>Premium</v>
      </c>
    </row>
    <row r="20" spans="1:17" x14ac:dyDescent="0.25">
      <c r="A20" t="s">
        <v>154</v>
      </c>
      <c r="B20">
        <v>1008</v>
      </c>
      <c r="C20" t="s">
        <v>77</v>
      </c>
      <c r="D20">
        <v>2</v>
      </c>
      <c r="E20">
        <v>300</v>
      </c>
      <c r="F20" t="s">
        <v>136</v>
      </c>
      <c r="G20">
        <v>2026</v>
      </c>
      <c r="M20" t="str">
        <f>_xlfn.XLOOKUP(C12,Menu_Items!$A$2:$A$21,Menu_Items!$B$2:$B$21,"Not Found")</f>
        <v>Burger</v>
      </c>
      <c r="N20" t="str">
        <f>_xlfn.XLOOKUP(Orders!D12,Branches!$A$2:$A$6,Branches!$B$2:$B$6,FALSE)</f>
        <v>Paradise Restaurant</v>
      </c>
      <c r="O20" t="str">
        <f>_xlfn.XLOOKUP(Orders!E12,Waiters!$A$2:$A$11,Waiters!$B$2:$B$11,FALSE)</f>
        <v>Mahesh</v>
      </c>
      <c r="P20" t="str">
        <f t="shared" si="0"/>
        <v>Normal_Sales</v>
      </c>
      <c r="Q20" t="str">
        <f>IF(Orders!G12&gt;=500,"Premium","Regular")</f>
        <v>Regular</v>
      </c>
    </row>
    <row r="21" spans="1:17" x14ac:dyDescent="0.25">
      <c r="A21" t="s">
        <v>155</v>
      </c>
      <c r="B21">
        <v>1008</v>
      </c>
      <c r="C21" t="s">
        <v>80</v>
      </c>
      <c r="D21">
        <v>3</v>
      </c>
      <c r="E21">
        <v>540</v>
      </c>
      <c r="F21" t="s">
        <v>136</v>
      </c>
      <c r="G21">
        <v>2026</v>
      </c>
      <c r="M21" t="str">
        <f>_xlfn.XLOOKUP(C13,Menu_Items!$A$2:$A$21,Menu_Items!$B$2:$B$21,"Not Found")</f>
        <v>French Fries</v>
      </c>
      <c r="N21" t="str">
        <f>_xlfn.XLOOKUP(Orders!D13,Branches!$A$2:$A$6,Branches!$B$2:$B$6,FALSE)</f>
        <v>Spice Hub</v>
      </c>
      <c r="O21" t="str">
        <f>_xlfn.XLOOKUP(Orders!E13,Waiters!$A$2:$A$11,Waiters!$B$2:$B$11,FALSE)</f>
        <v>Kiran</v>
      </c>
      <c r="P21" t="str">
        <f t="shared" si="0"/>
        <v>Normal_Sales</v>
      </c>
      <c r="Q21" t="str">
        <f>IF(Orders!G13&gt;=500,"Premium","Regular")</f>
        <v>Premium</v>
      </c>
    </row>
    <row r="22" spans="1:17" x14ac:dyDescent="0.25">
      <c r="A22" t="s">
        <v>156</v>
      </c>
      <c r="B22">
        <v>1009</v>
      </c>
      <c r="C22" t="s">
        <v>77</v>
      </c>
      <c r="D22">
        <v>1</v>
      </c>
      <c r="E22">
        <v>150</v>
      </c>
      <c r="F22" t="s">
        <v>136</v>
      </c>
      <c r="G22">
        <v>2026</v>
      </c>
      <c r="M22" t="str">
        <f>_xlfn.XLOOKUP(C14,Menu_Items!$A$2:$A$21,Menu_Items!$B$2:$B$21,"Not Found")</f>
        <v>French Fries</v>
      </c>
      <c r="N22" t="str">
        <f>_xlfn.XLOOKUP(Orders!D14,Branches!$A$2:$A$6,Branches!$B$2:$B$6,FALSE)</f>
        <v>Food Fiesta</v>
      </c>
      <c r="O22" t="str">
        <f>_xlfn.XLOOKUP(Orders!E14,Waiters!$A$2:$A$11,Waiters!$B$2:$B$11,FALSE)</f>
        <v>Ramesh</v>
      </c>
      <c r="P22" t="str">
        <f t="shared" si="0"/>
        <v>Normal_Sales</v>
      </c>
      <c r="Q22" t="str">
        <f>IF(Orders!G14&gt;=500,"Premium","Regular")</f>
        <v>Premium</v>
      </c>
    </row>
    <row r="23" spans="1:17" x14ac:dyDescent="0.25">
      <c r="A23" t="s">
        <v>157</v>
      </c>
      <c r="B23">
        <v>1009</v>
      </c>
      <c r="C23" t="s">
        <v>80</v>
      </c>
      <c r="D23">
        <v>2</v>
      </c>
      <c r="E23">
        <v>360</v>
      </c>
      <c r="F23" t="s">
        <v>136</v>
      </c>
      <c r="G23">
        <v>2026</v>
      </c>
      <c r="M23" t="str">
        <f>_xlfn.XLOOKUP(C15,Menu_Items!$A$2:$A$21,Menu_Items!$B$2:$B$21,"Not Found")</f>
        <v>Noodles</v>
      </c>
      <c r="N23" t="str">
        <f>_xlfn.XLOOKUP(Orders!D15,Branches!$A$2:$A$6,Branches!$B$2:$B$6,FALSE)</f>
        <v>Royal Dine</v>
      </c>
      <c r="O23" t="str">
        <f>_xlfn.XLOOKUP(Orders!E15,Waiters!$A$2:$A$11,Waiters!$B$2:$B$11,FALSE)</f>
        <v>Praveen</v>
      </c>
      <c r="P23" t="str">
        <f t="shared" si="0"/>
        <v>Normal_Sales</v>
      </c>
      <c r="Q23" t="str">
        <f>IF(Orders!G15&gt;=500,"Premium","Regular")</f>
        <v>Premium</v>
      </c>
    </row>
    <row r="24" spans="1:17" x14ac:dyDescent="0.25">
      <c r="A24" t="s">
        <v>158</v>
      </c>
      <c r="B24">
        <v>1010</v>
      </c>
      <c r="C24" t="s">
        <v>80</v>
      </c>
      <c r="D24">
        <v>1</v>
      </c>
      <c r="E24">
        <v>180</v>
      </c>
      <c r="F24" t="s">
        <v>136</v>
      </c>
      <c r="G24">
        <v>2026</v>
      </c>
      <c r="M24" t="str">
        <f>_xlfn.XLOOKUP(C16,Menu_Items!$A$2:$A$21,Menu_Items!$B$2:$B$21,"Not Found")</f>
        <v>Fried Rice</v>
      </c>
      <c r="N24" t="str">
        <f>_xlfn.XLOOKUP(Orders!D16,Branches!$A$2:$A$6,Branches!$B$2:$B$6,FALSE)</f>
        <v>Urban Kitchen</v>
      </c>
      <c r="O24" t="str">
        <f>_xlfn.XLOOKUP(Orders!E16,Waiters!$A$2:$A$11,Waiters!$B$2:$B$11,FALSE)</f>
        <v>Suresh</v>
      </c>
      <c r="P24" t="str">
        <f t="shared" si="0"/>
        <v>Normal_Sales</v>
      </c>
      <c r="Q24" t="str">
        <f>IF(Orders!G16&gt;=500,"Premium","Regular")</f>
        <v>Premium</v>
      </c>
    </row>
    <row r="25" spans="1:17" x14ac:dyDescent="0.25">
      <c r="A25" t="s">
        <v>159</v>
      </c>
      <c r="B25">
        <v>1010</v>
      </c>
      <c r="C25" t="s">
        <v>82</v>
      </c>
      <c r="D25">
        <v>2</v>
      </c>
      <c r="E25">
        <v>200</v>
      </c>
      <c r="F25" t="s">
        <v>136</v>
      </c>
      <c r="G25">
        <v>2026</v>
      </c>
      <c r="M25" t="str">
        <f>_xlfn.XLOOKUP(C17,Menu_Items!$A$2:$A$21,Menu_Items!$B$2:$B$21,"Not Found")</f>
        <v>Noodles</v>
      </c>
      <c r="N25" t="str">
        <f>_xlfn.XLOOKUP(Orders!D17,Branches!$A$2:$A$6,Branches!$B$2:$B$6,FALSE)</f>
        <v>Paradise Restaurant</v>
      </c>
      <c r="O25" t="str">
        <f>_xlfn.XLOOKUP(Orders!E17,Waiters!$A$2:$A$11,Waiters!$B$2:$B$11,FALSE)</f>
        <v>Naveen</v>
      </c>
      <c r="P25" t="str">
        <f t="shared" si="0"/>
        <v>Normal_Sales</v>
      </c>
      <c r="Q25" t="str">
        <f>IF(Orders!G17&gt;=500,"Premium","Regular")</f>
        <v>Premium</v>
      </c>
    </row>
    <row r="26" spans="1:17" x14ac:dyDescent="0.25">
      <c r="A26" t="s">
        <v>160</v>
      </c>
      <c r="B26">
        <v>1010</v>
      </c>
      <c r="C26" t="s">
        <v>84</v>
      </c>
      <c r="D26">
        <v>3</v>
      </c>
      <c r="E26">
        <v>180</v>
      </c>
      <c r="F26" t="s">
        <v>136</v>
      </c>
      <c r="G26">
        <v>2026</v>
      </c>
      <c r="M26" t="str">
        <f>_xlfn.XLOOKUP(C18,Menu_Items!$A$2:$A$21,Menu_Items!$B$2:$B$21,"Not Found")</f>
        <v>Fried Rice</v>
      </c>
      <c r="N26" t="str">
        <f>_xlfn.XLOOKUP(Orders!D18,Branches!$A$2:$A$6,Branches!$B$2:$B$6,FALSE)</f>
        <v>Spice Hub</v>
      </c>
      <c r="O26" t="str">
        <f>_xlfn.XLOOKUP(Orders!E18,Waiters!$A$2:$A$11,Waiters!$B$2:$B$11,FALSE)</f>
        <v>Ajay</v>
      </c>
      <c r="P26" t="str">
        <f t="shared" si="0"/>
        <v>Normal_Sales</v>
      </c>
      <c r="Q26" t="str">
        <f>IF(Orders!G18&gt;=500,"Premium","Regular")</f>
        <v>Premium</v>
      </c>
    </row>
    <row r="27" spans="1:17" x14ac:dyDescent="0.25">
      <c r="A27" t="s">
        <v>161</v>
      </c>
      <c r="B27">
        <v>1011</v>
      </c>
      <c r="C27" t="s">
        <v>82</v>
      </c>
      <c r="D27">
        <v>1</v>
      </c>
      <c r="E27">
        <v>100</v>
      </c>
      <c r="F27" t="s">
        <v>136</v>
      </c>
      <c r="G27">
        <v>2026</v>
      </c>
      <c r="M27" t="str">
        <f>_xlfn.XLOOKUP(C19,Menu_Items!$A$2:$A$21,Menu_Items!$B$2:$B$21,"Not Found")</f>
        <v>Fried Rice</v>
      </c>
      <c r="N27" t="str">
        <f>_xlfn.XLOOKUP(Orders!D19,Branches!$A$2:$A$6,Branches!$B$2:$B$6,FALSE)</f>
        <v>Food Fiesta</v>
      </c>
      <c r="O27" t="str">
        <f>_xlfn.XLOOKUP(Orders!E19,Waiters!$A$2:$A$11,Waiters!$B$2:$B$11,FALSE)</f>
        <v>Vinod</v>
      </c>
      <c r="P27" t="str">
        <f t="shared" si="0"/>
        <v>Normal_Sales</v>
      </c>
      <c r="Q27" t="str">
        <f>IF(Orders!G19&gt;=500,"Premium","Regular")</f>
        <v>Premium</v>
      </c>
    </row>
    <row r="28" spans="1:17" x14ac:dyDescent="0.25">
      <c r="A28" t="s">
        <v>162</v>
      </c>
      <c r="B28">
        <v>1011</v>
      </c>
      <c r="C28" t="s">
        <v>84</v>
      </c>
      <c r="D28">
        <v>2</v>
      </c>
      <c r="E28">
        <v>120</v>
      </c>
      <c r="F28" t="s">
        <v>136</v>
      </c>
      <c r="G28">
        <v>2026</v>
      </c>
      <c r="M28" t="str">
        <f>_xlfn.XLOOKUP(C20,Menu_Items!$A$2:$A$21,Menu_Items!$B$2:$B$21,"Not Found")</f>
        <v>Ice Cream</v>
      </c>
      <c r="N28" t="str">
        <f>_xlfn.XLOOKUP(Orders!D20,Branches!$A$2:$A$6,Branches!$B$2:$B$6,FALSE)</f>
        <v>Royal Dine</v>
      </c>
      <c r="O28" t="str">
        <f>_xlfn.XLOOKUP(Orders!E20,Waiters!$A$2:$A$11,Waiters!$B$2:$B$11,FALSE)</f>
        <v>Arjun</v>
      </c>
      <c r="P28" t="str">
        <f t="shared" si="0"/>
        <v>Normal_Sales</v>
      </c>
      <c r="Q28" t="str">
        <f>IF(Orders!G20&gt;=500,"Premium","Regular")</f>
        <v>Premium</v>
      </c>
    </row>
    <row r="29" spans="1:17" x14ac:dyDescent="0.25">
      <c r="A29" t="s">
        <v>163</v>
      </c>
      <c r="B29">
        <v>1012</v>
      </c>
      <c r="C29" t="s">
        <v>84</v>
      </c>
      <c r="D29">
        <v>1</v>
      </c>
      <c r="E29">
        <v>60</v>
      </c>
      <c r="F29" t="s">
        <v>136</v>
      </c>
      <c r="G29">
        <v>2026</v>
      </c>
      <c r="M29" t="str">
        <f>_xlfn.XLOOKUP(C21,Menu_Items!$A$2:$A$21,Menu_Items!$B$2:$B$21,"Not Found")</f>
        <v>Brownie</v>
      </c>
      <c r="N29" t="str">
        <f>_xlfn.XLOOKUP(Orders!D21,Branches!$A$2:$A$6,Branches!$B$2:$B$6,FALSE)</f>
        <v>Urban Kitchen</v>
      </c>
      <c r="O29" t="str">
        <f>_xlfn.XLOOKUP(Orders!E21,Waiters!$A$2:$A$11,Waiters!$B$2:$B$11,FALSE)</f>
        <v>Teja</v>
      </c>
      <c r="P29" t="str">
        <f t="shared" si="0"/>
        <v>Normal_Sales</v>
      </c>
      <c r="Q29" t="str">
        <f>IF(Orders!G21&gt;=500,"Premium","Regular")</f>
        <v>Premium</v>
      </c>
    </row>
    <row r="30" spans="1:17" x14ac:dyDescent="0.25">
      <c r="A30" t="s">
        <v>164</v>
      </c>
      <c r="B30">
        <v>1012</v>
      </c>
      <c r="C30" t="s">
        <v>87</v>
      </c>
      <c r="D30">
        <v>2</v>
      </c>
      <c r="E30">
        <v>120</v>
      </c>
      <c r="F30" t="s">
        <v>136</v>
      </c>
      <c r="G30">
        <v>2026</v>
      </c>
      <c r="M30" t="str">
        <f>_xlfn.XLOOKUP(C22,Menu_Items!$A$2:$A$21,Menu_Items!$B$2:$B$21,"Not Found")</f>
        <v>Ice Cream</v>
      </c>
      <c r="N30" t="str">
        <f>_xlfn.XLOOKUP(Orders!D22,Branches!$A$2:$A$6,Branches!$B$2:$B$6,FALSE)</f>
        <v>Paradise Restaurant</v>
      </c>
      <c r="O30" t="str">
        <f>_xlfn.XLOOKUP(Orders!E22,Waiters!$A$2:$A$11,Waiters!$B$2:$B$11,FALSE)</f>
        <v>Mahesh</v>
      </c>
      <c r="P30" t="str">
        <f t="shared" si="0"/>
        <v>Normal_Sales</v>
      </c>
      <c r="Q30" t="str">
        <f>IF(Orders!G22&gt;=500,"Premium","Regular")</f>
        <v>Regular</v>
      </c>
    </row>
    <row r="31" spans="1:17" x14ac:dyDescent="0.25">
      <c r="A31" t="s">
        <v>165</v>
      </c>
      <c r="B31">
        <v>1012</v>
      </c>
      <c r="C31" t="s">
        <v>89</v>
      </c>
      <c r="D31">
        <v>3</v>
      </c>
      <c r="E31">
        <v>240</v>
      </c>
      <c r="F31" t="s">
        <v>136</v>
      </c>
      <c r="G31">
        <v>2026</v>
      </c>
      <c r="M31" t="str">
        <f>_xlfn.XLOOKUP(C23,Menu_Items!$A$2:$A$21,Menu_Items!$B$2:$B$21,"Not Found")</f>
        <v>Brownie</v>
      </c>
      <c r="N31" t="str">
        <f>_xlfn.XLOOKUP(Orders!D23,Branches!$A$2:$A$6,Branches!$B$2:$B$6,FALSE)</f>
        <v>Spice Hub</v>
      </c>
      <c r="O31" t="str">
        <f>_xlfn.XLOOKUP(Orders!E23,Waiters!$A$2:$A$11,Waiters!$B$2:$B$11,FALSE)</f>
        <v>Kiran</v>
      </c>
      <c r="P31" t="str">
        <f t="shared" si="0"/>
        <v>Normal_Sales</v>
      </c>
      <c r="Q31" t="str">
        <f>IF(Orders!G23&gt;=500,"Premium","Regular")</f>
        <v>Premium</v>
      </c>
    </row>
    <row r="32" spans="1:17" x14ac:dyDescent="0.25">
      <c r="A32" t="s">
        <v>166</v>
      </c>
      <c r="B32">
        <v>1013</v>
      </c>
      <c r="C32" t="s">
        <v>87</v>
      </c>
      <c r="D32">
        <v>1</v>
      </c>
      <c r="E32">
        <v>60</v>
      </c>
      <c r="F32" t="s">
        <v>136</v>
      </c>
      <c r="G32">
        <v>2026</v>
      </c>
      <c r="M32" t="str">
        <f>_xlfn.XLOOKUP(C24,Menu_Items!$A$2:$A$21,Menu_Items!$B$2:$B$21,"Not Found")</f>
        <v>Brownie</v>
      </c>
      <c r="N32" t="str">
        <f>_xlfn.XLOOKUP(Orders!D24,Branches!$A$2:$A$6,Branches!$B$2:$B$6,FALSE)</f>
        <v>Food Fiesta</v>
      </c>
      <c r="O32" t="str">
        <f>_xlfn.XLOOKUP(Orders!E24,Waiters!$A$2:$A$11,Waiters!$B$2:$B$11,FALSE)</f>
        <v>Ramesh</v>
      </c>
      <c r="P32" t="str">
        <f t="shared" si="0"/>
        <v>Normal_Sales</v>
      </c>
      <c r="Q32" t="str">
        <f>IF(Orders!G24&gt;=500,"Premium","Regular")</f>
        <v>Premium</v>
      </c>
    </row>
    <row r="33" spans="1:17" x14ac:dyDescent="0.25">
      <c r="A33" t="s">
        <v>167</v>
      </c>
      <c r="B33">
        <v>1013</v>
      </c>
      <c r="C33" t="s">
        <v>89</v>
      </c>
      <c r="D33">
        <v>2</v>
      </c>
      <c r="E33">
        <v>160</v>
      </c>
      <c r="F33" t="s">
        <v>136</v>
      </c>
      <c r="G33">
        <v>2026</v>
      </c>
      <c r="M33" t="str">
        <f>_xlfn.XLOOKUP(C25,Menu_Items!$A$2:$A$21,Menu_Items!$B$2:$B$21,"Not Found")</f>
        <v>Gulab Jamun</v>
      </c>
      <c r="N33" t="str">
        <f>_xlfn.XLOOKUP(Orders!D25,Branches!$A$2:$A$6,Branches!$B$2:$B$6,FALSE)</f>
        <v>Royal Dine</v>
      </c>
      <c r="O33" t="str">
        <f>_xlfn.XLOOKUP(Orders!E25,Waiters!$A$2:$A$11,Waiters!$B$2:$B$11,FALSE)</f>
        <v>Praveen</v>
      </c>
      <c r="P33" t="str">
        <f t="shared" si="0"/>
        <v>Normal_Sales</v>
      </c>
      <c r="Q33" t="str">
        <f>IF(Orders!G25&gt;=500,"Premium","Regular")</f>
        <v>Premium</v>
      </c>
    </row>
    <row r="34" spans="1:17" x14ac:dyDescent="0.25">
      <c r="A34" t="s">
        <v>168</v>
      </c>
      <c r="B34">
        <v>1014</v>
      </c>
      <c r="C34" t="s">
        <v>89</v>
      </c>
      <c r="D34">
        <v>1</v>
      </c>
      <c r="E34">
        <v>80</v>
      </c>
      <c r="F34" t="s">
        <v>136</v>
      </c>
      <c r="G34">
        <v>2026</v>
      </c>
      <c r="M34" t="str">
        <f>_xlfn.XLOOKUP(C26,Menu_Items!$A$2:$A$21,Menu_Items!$B$2:$B$21,"Not Found")</f>
        <v>Coke</v>
      </c>
      <c r="N34" t="str">
        <f>_xlfn.XLOOKUP(Orders!D26,Branches!$A$2:$A$6,Branches!$B$2:$B$6,FALSE)</f>
        <v>Urban Kitchen</v>
      </c>
      <c r="O34" t="str">
        <f>_xlfn.XLOOKUP(Orders!E26,Waiters!$A$2:$A$11,Waiters!$B$2:$B$11,FALSE)</f>
        <v>Suresh</v>
      </c>
      <c r="P34" t="str">
        <f t="shared" si="0"/>
        <v>Normal_Sales</v>
      </c>
      <c r="Q34" t="str">
        <f>IF(Orders!G26&gt;=500,"Premium","Regular")</f>
        <v>Premium</v>
      </c>
    </row>
    <row r="35" spans="1:17" x14ac:dyDescent="0.25">
      <c r="A35" t="s">
        <v>169</v>
      </c>
      <c r="B35">
        <v>1014</v>
      </c>
      <c r="C35" t="s">
        <v>91</v>
      </c>
      <c r="D35">
        <v>2</v>
      </c>
      <c r="E35">
        <v>80</v>
      </c>
      <c r="F35" t="s">
        <v>399</v>
      </c>
      <c r="G35">
        <v>2026</v>
      </c>
      <c r="M35" t="str">
        <f>_xlfn.XLOOKUP(C27,Menu_Items!$A$2:$A$21,Menu_Items!$B$2:$B$21,"Not Found")</f>
        <v>Gulab Jamun</v>
      </c>
      <c r="N35" t="str">
        <f>_xlfn.XLOOKUP(Orders!D27,Branches!$A$2:$A$6,Branches!$B$2:$B$6,FALSE)</f>
        <v>Paradise Restaurant</v>
      </c>
      <c r="O35" t="str">
        <f>_xlfn.XLOOKUP(Orders!E27,Waiters!$A$2:$A$11,Waiters!$B$2:$B$11,FALSE)</f>
        <v>Naveen</v>
      </c>
      <c r="P35" t="str">
        <f t="shared" si="0"/>
        <v>Normal_Sales</v>
      </c>
      <c r="Q35" t="str">
        <f>IF(Orders!G27&gt;=500,"Premium","Regular")</f>
        <v>Premium</v>
      </c>
    </row>
    <row r="36" spans="1:17" x14ac:dyDescent="0.25">
      <c r="A36" t="s">
        <v>170</v>
      </c>
      <c r="B36">
        <v>1014</v>
      </c>
      <c r="C36" t="s">
        <v>93</v>
      </c>
      <c r="D36">
        <v>3</v>
      </c>
      <c r="E36">
        <v>900</v>
      </c>
      <c r="F36" t="s">
        <v>136</v>
      </c>
      <c r="G36">
        <v>2026</v>
      </c>
      <c r="M36" t="str">
        <f>_xlfn.XLOOKUP(C28,Menu_Items!$A$2:$A$21,Menu_Items!$B$2:$B$21,"Not Found")</f>
        <v>Coke</v>
      </c>
      <c r="N36" t="str">
        <f>_xlfn.XLOOKUP(Orders!D28,Branches!$A$2:$A$6,Branches!$B$2:$B$6,FALSE)</f>
        <v>Spice Hub</v>
      </c>
      <c r="O36" t="str">
        <f>_xlfn.XLOOKUP(Orders!E28,Waiters!$A$2:$A$11,Waiters!$B$2:$B$11,FALSE)</f>
        <v>Ajay</v>
      </c>
      <c r="P36" t="str">
        <f t="shared" si="0"/>
        <v>Normal_Sales</v>
      </c>
      <c r="Q36" t="str">
        <f>IF(Orders!G28&gt;=500,"Premium","Regular")</f>
        <v>Premium</v>
      </c>
    </row>
    <row r="37" spans="1:17" x14ac:dyDescent="0.25">
      <c r="A37" t="s">
        <v>171</v>
      </c>
      <c r="B37">
        <v>1015</v>
      </c>
      <c r="C37" t="s">
        <v>91</v>
      </c>
      <c r="D37">
        <v>1</v>
      </c>
      <c r="E37">
        <v>40</v>
      </c>
      <c r="F37" t="s">
        <v>136</v>
      </c>
      <c r="G37">
        <v>2026</v>
      </c>
      <c r="M37" t="str">
        <f>_xlfn.XLOOKUP(C29,Menu_Items!$A$2:$A$21,Menu_Items!$B$2:$B$21,"Not Found")</f>
        <v>Coke</v>
      </c>
      <c r="N37" t="str">
        <f>_xlfn.XLOOKUP(Orders!D29,Branches!$A$2:$A$6,Branches!$B$2:$B$6,FALSE)</f>
        <v>Food Fiesta</v>
      </c>
      <c r="O37" t="str">
        <f>_xlfn.XLOOKUP(Orders!E29,Waiters!$A$2:$A$11,Waiters!$B$2:$B$11,FALSE)</f>
        <v>Vinod</v>
      </c>
      <c r="P37" t="str">
        <f t="shared" si="0"/>
        <v>Normal_Sales</v>
      </c>
      <c r="Q37" t="str">
        <f>IF(Orders!G29&gt;=500,"Premium","Regular")</f>
        <v>Premium</v>
      </c>
    </row>
    <row r="38" spans="1:17" x14ac:dyDescent="0.25">
      <c r="A38" t="s">
        <v>172</v>
      </c>
      <c r="B38">
        <v>1015</v>
      </c>
      <c r="C38" t="s">
        <v>93</v>
      </c>
      <c r="D38">
        <v>2</v>
      </c>
      <c r="E38">
        <v>600</v>
      </c>
      <c r="F38" t="s">
        <v>136</v>
      </c>
      <c r="G38">
        <v>2026</v>
      </c>
      <c r="M38" t="str">
        <f>_xlfn.XLOOKUP(C30,Menu_Items!$A$2:$A$21,Menu_Items!$B$2:$B$21,"Not Found")</f>
        <v>Pepsi</v>
      </c>
      <c r="N38" t="str">
        <f>_xlfn.XLOOKUP(Orders!D30,Branches!$A$2:$A$6,Branches!$B$2:$B$6,FALSE)</f>
        <v>Royal Dine</v>
      </c>
      <c r="O38" t="str">
        <f>_xlfn.XLOOKUP(Orders!E30,Waiters!$A$2:$A$11,Waiters!$B$2:$B$11,FALSE)</f>
        <v>Arjun</v>
      </c>
      <c r="P38" t="str">
        <f t="shared" si="0"/>
        <v>Normal_Sales</v>
      </c>
      <c r="Q38" t="str">
        <f>IF(Orders!G30&gt;=500,"Premium","Regular")</f>
        <v>Premium</v>
      </c>
    </row>
    <row r="39" spans="1:17" x14ac:dyDescent="0.25">
      <c r="A39" t="s">
        <v>173</v>
      </c>
      <c r="B39">
        <v>1016</v>
      </c>
      <c r="C39" t="s">
        <v>93</v>
      </c>
      <c r="D39">
        <v>1</v>
      </c>
      <c r="E39">
        <v>300</v>
      </c>
      <c r="F39" t="s">
        <v>136</v>
      </c>
      <c r="G39">
        <v>2026</v>
      </c>
      <c r="M39" t="str">
        <f>_xlfn.XLOOKUP(C31,Menu_Items!$A$2:$A$21,Menu_Items!$B$2:$B$21,"Not Found")</f>
        <v>Coffee</v>
      </c>
      <c r="N39" t="str">
        <f>_xlfn.XLOOKUP(Orders!D31,Branches!$A$2:$A$6,Branches!$B$2:$B$6,FALSE)</f>
        <v>Urban Kitchen</v>
      </c>
      <c r="O39" t="str">
        <f>_xlfn.XLOOKUP(Orders!E31,Waiters!$A$2:$A$11,Waiters!$B$2:$B$11,FALSE)</f>
        <v>Teja</v>
      </c>
      <c r="P39" t="str">
        <f t="shared" si="0"/>
        <v>Normal_Sales</v>
      </c>
      <c r="Q39" t="str">
        <f>IF(Orders!G31&gt;=500,"Premium","Regular")</f>
        <v>Premium</v>
      </c>
    </row>
    <row r="40" spans="1:17" x14ac:dyDescent="0.25">
      <c r="A40" t="s">
        <v>174</v>
      </c>
      <c r="B40">
        <v>1016</v>
      </c>
      <c r="C40" t="s">
        <v>96</v>
      </c>
      <c r="D40">
        <v>2</v>
      </c>
      <c r="E40">
        <v>560</v>
      </c>
      <c r="F40" t="s">
        <v>136</v>
      </c>
      <c r="G40">
        <v>2026</v>
      </c>
      <c r="M40" t="str">
        <f>_xlfn.XLOOKUP(C32,Menu_Items!$A$2:$A$21,Menu_Items!$B$2:$B$21,"Not Found")</f>
        <v>Pepsi</v>
      </c>
      <c r="N40" t="str">
        <f>_xlfn.XLOOKUP(Orders!D32,Branches!$A$2:$A$6,Branches!$B$2:$B$6,FALSE)</f>
        <v>Paradise Restaurant</v>
      </c>
      <c r="O40" t="str">
        <f>_xlfn.XLOOKUP(Orders!E32,Waiters!$A$2:$A$11,Waiters!$B$2:$B$11,FALSE)</f>
        <v>Mahesh</v>
      </c>
      <c r="P40" t="str">
        <f t="shared" si="0"/>
        <v>Normal_Sales</v>
      </c>
      <c r="Q40" t="str">
        <f>IF(Orders!G32&gt;=500,"Premium","Regular")</f>
        <v>Regular</v>
      </c>
    </row>
    <row r="41" spans="1:17" x14ac:dyDescent="0.25">
      <c r="A41" t="s">
        <v>175</v>
      </c>
      <c r="B41">
        <v>1016</v>
      </c>
      <c r="C41" t="s">
        <v>98</v>
      </c>
      <c r="D41">
        <v>3</v>
      </c>
      <c r="E41">
        <v>360</v>
      </c>
      <c r="F41" t="s">
        <v>136</v>
      </c>
      <c r="G41">
        <v>2026</v>
      </c>
      <c r="M41" t="str">
        <f>_xlfn.XLOOKUP(C33,Menu_Items!$A$2:$A$21,Menu_Items!$B$2:$B$21,"Not Found")</f>
        <v>Coffee</v>
      </c>
      <c r="N41" t="str">
        <f>_xlfn.XLOOKUP(Orders!D33,Branches!$A$2:$A$6,Branches!$B$2:$B$6,FALSE)</f>
        <v>Spice Hub</v>
      </c>
      <c r="O41" t="str">
        <f>_xlfn.XLOOKUP(Orders!E33,Waiters!$A$2:$A$11,Waiters!$B$2:$B$11,FALSE)</f>
        <v>Kiran</v>
      </c>
      <c r="P41" t="str">
        <f t="shared" si="0"/>
        <v>Normal_Sales</v>
      </c>
      <c r="Q41" t="str">
        <f>IF(Orders!G33&gt;=500,"Premium","Regular")</f>
        <v>Premium</v>
      </c>
    </row>
    <row r="42" spans="1:17" x14ac:dyDescent="0.25">
      <c r="A42" t="s">
        <v>176</v>
      </c>
      <c r="B42">
        <v>1017</v>
      </c>
      <c r="C42" t="s">
        <v>96</v>
      </c>
      <c r="D42">
        <v>1</v>
      </c>
      <c r="E42">
        <v>280</v>
      </c>
      <c r="F42" t="s">
        <v>136</v>
      </c>
      <c r="G42">
        <v>2026</v>
      </c>
      <c r="M42" t="str">
        <f>_xlfn.XLOOKUP(C34,Menu_Items!$A$2:$A$21,Menu_Items!$B$2:$B$21,"Not Found")</f>
        <v>Coffee</v>
      </c>
      <c r="N42" t="str">
        <f>_xlfn.XLOOKUP(Orders!D34,Branches!$A$2:$A$6,Branches!$B$2:$B$6,FALSE)</f>
        <v>Food Fiesta</v>
      </c>
      <c r="O42" t="str">
        <f>_xlfn.XLOOKUP(Orders!E34,Waiters!$A$2:$A$11,Waiters!$B$2:$B$11,FALSE)</f>
        <v>Ramesh</v>
      </c>
      <c r="P42" t="str">
        <f t="shared" si="0"/>
        <v>Normal_Sales</v>
      </c>
      <c r="Q42" t="str">
        <f>IF(Orders!G34&gt;=500,"Premium","Regular")</f>
        <v>Premium</v>
      </c>
    </row>
    <row r="43" spans="1:17" x14ac:dyDescent="0.25">
      <c r="A43" t="s">
        <v>177</v>
      </c>
      <c r="B43">
        <v>1017</v>
      </c>
      <c r="C43" t="s">
        <v>98</v>
      </c>
      <c r="D43">
        <v>2</v>
      </c>
      <c r="E43">
        <v>240</v>
      </c>
      <c r="F43" t="s">
        <v>136</v>
      </c>
      <c r="G43">
        <v>2026</v>
      </c>
      <c r="M43" t="str">
        <f>_xlfn.XLOOKUP(C35,Menu_Items!$A$2:$A$21,Menu_Items!$B$2:$B$21,"Not Found")</f>
        <v>Tea</v>
      </c>
      <c r="N43" t="str">
        <f>_xlfn.XLOOKUP(Orders!D35,Branches!$A$2:$A$6,Branches!$B$2:$B$6,FALSE)</f>
        <v>Royal Dine</v>
      </c>
      <c r="O43" t="str">
        <f>_xlfn.XLOOKUP(Orders!E35,Waiters!$A$2:$A$11,Waiters!$B$2:$B$11,FALSE)</f>
        <v>Praveen</v>
      </c>
      <c r="P43" t="str">
        <f t="shared" si="0"/>
        <v>Normal_Sales</v>
      </c>
      <c r="Q43" t="str">
        <f>IF(Orders!G35&gt;=500,"Premium","Regular")</f>
        <v>Premium</v>
      </c>
    </row>
    <row r="44" spans="1:17" x14ac:dyDescent="0.25">
      <c r="A44" t="s">
        <v>178</v>
      </c>
      <c r="B44">
        <v>1018</v>
      </c>
      <c r="C44" t="s">
        <v>98</v>
      </c>
      <c r="D44">
        <v>1</v>
      </c>
      <c r="E44">
        <v>120</v>
      </c>
      <c r="F44" t="s">
        <v>136</v>
      </c>
      <c r="G44">
        <v>2026</v>
      </c>
      <c r="M44" t="str">
        <f>_xlfn.XLOOKUP(C36,Menu_Items!$A$2:$A$21,Menu_Items!$B$2:$B$21,"Not Found")</f>
        <v>Chicken 65</v>
      </c>
      <c r="N44" t="str">
        <f>_xlfn.XLOOKUP(Orders!D36,Branches!$A$2:$A$6,Branches!$B$2:$B$6,FALSE)</f>
        <v>Urban Kitchen</v>
      </c>
      <c r="O44" t="str">
        <f>_xlfn.XLOOKUP(Orders!E36,Waiters!$A$2:$A$11,Waiters!$B$2:$B$11,FALSE)</f>
        <v>Suresh</v>
      </c>
      <c r="P44" t="str">
        <f t="shared" si="0"/>
        <v>Normal_Sales</v>
      </c>
      <c r="Q44" t="str">
        <f>IF(Orders!G36&gt;=500,"Premium","Regular")</f>
        <v>Premium</v>
      </c>
    </row>
    <row r="45" spans="1:17" x14ac:dyDescent="0.25">
      <c r="A45" t="s">
        <v>179</v>
      </c>
      <c r="B45">
        <v>1018</v>
      </c>
      <c r="C45" t="s">
        <v>100</v>
      </c>
      <c r="D45">
        <v>2</v>
      </c>
      <c r="E45">
        <v>300</v>
      </c>
      <c r="F45" t="s">
        <v>136</v>
      </c>
      <c r="G45">
        <v>2026</v>
      </c>
      <c r="M45" t="str">
        <f>_xlfn.XLOOKUP(C37,Menu_Items!$A$2:$A$21,Menu_Items!$B$2:$B$21,"Not Found")</f>
        <v>Tea</v>
      </c>
      <c r="N45" t="str">
        <f>_xlfn.XLOOKUP(Orders!D37,Branches!$A$2:$A$6,Branches!$B$2:$B$6,FALSE)</f>
        <v>Paradise Restaurant</v>
      </c>
      <c r="O45" t="str">
        <f>_xlfn.XLOOKUP(Orders!E37,Waiters!$A$2:$A$11,Waiters!$B$2:$B$11,FALSE)</f>
        <v>Naveen</v>
      </c>
      <c r="P45" t="str">
        <f t="shared" si="0"/>
        <v>Normal_Sales</v>
      </c>
      <c r="Q45" t="str">
        <f>IF(Orders!G37&gt;=500,"Premium","Regular")</f>
        <v>Premium</v>
      </c>
    </row>
    <row r="46" spans="1:17" x14ac:dyDescent="0.25">
      <c r="A46" t="s">
        <v>180</v>
      </c>
      <c r="B46">
        <v>1018</v>
      </c>
      <c r="C46" t="s">
        <v>102</v>
      </c>
      <c r="D46">
        <v>3</v>
      </c>
      <c r="E46">
        <v>780</v>
      </c>
      <c r="F46" t="s">
        <v>136</v>
      </c>
      <c r="G46">
        <v>2026</v>
      </c>
      <c r="M46" t="str">
        <f>_xlfn.XLOOKUP(C38,Menu_Items!$A$2:$A$21,Menu_Items!$B$2:$B$21,"Not Found")</f>
        <v>Chicken 65</v>
      </c>
      <c r="N46" t="str">
        <f>_xlfn.XLOOKUP(Orders!D38,Branches!$A$2:$A$6,Branches!$B$2:$B$6,FALSE)</f>
        <v>Spice Hub</v>
      </c>
      <c r="O46" t="str">
        <f>_xlfn.XLOOKUP(Orders!E38,Waiters!$A$2:$A$11,Waiters!$B$2:$B$11,FALSE)</f>
        <v>Ajay</v>
      </c>
      <c r="P46" t="str">
        <f t="shared" si="0"/>
        <v>Normal_Sales</v>
      </c>
      <c r="Q46" t="str">
        <f>IF(Orders!G38&gt;=500,"Premium","Regular")</f>
        <v>Premium</v>
      </c>
    </row>
    <row r="47" spans="1:17" x14ac:dyDescent="0.25">
      <c r="A47" t="s">
        <v>181</v>
      </c>
      <c r="B47">
        <v>1019</v>
      </c>
      <c r="C47" t="s">
        <v>100</v>
      </c>
      <c r="D47">
        <v>1</v>
      </c>
      <c r="E47">
        <v>150</v>
      </c>
      <c r="F47" t="s">
        <v>136</v>
      </c>
      <c r="G47">
        <v>2026</v>
      </c>
      <c r="M47" t="str">
        <f>_xlfn.XLOOKUP(C39,Menu_Items!$A$2:$A$21,Menu_Items!$B$2:$B$21,"Not Found")</f>
        <v>Chicken 65</v>
      </c>
      <c r="N47" t="str">
        <f>_xlfn.XLOOKUP(Orders!D39,Branches!$A$2:$A$6,Branches!$B$2:$B$6,FALSE)</f>
        <v>Food Fiesta</v>
      </c>
      <c r="O47" t="str">
        <f>_xlfn.XLOOKUP(Orders!E39,Waiters!$A$2:$A$11,Waiters!$B$2:$B$11,FALSE)</f>
        <v>Vinod</v>
      </c>
      <c r="P47" t="str">
        <f t="shared" si="0"/>
        <v>Normal_Sales</v>
      </c>
      <c r="Q47" t="str">
        <f>IF(Orders!G39&gt;=500,"Premium","Regular")</f>
        <v>Premium</v>
      </c>
    </row>
    <row r="48" spans="1:17" x14ac:dyDescent="0.25">
      <c r="A48" t="s">
        <v>182</v>
      </c>
      <c r="B48">
        <v>1019</v>
      </c>
      <c r="C48" t="s">
        <v>102</v>
      </c>
      <c r="D48">
        <v>2</v>
      </c>
      <c r="E48">
        <v>520</v>
      </c>
      <c r="F48" t="s">
        <v>136</v>
      </c>
      <c r="G48">
        <v>2026</v>
      </c>
      <c r="M48" t="str">
        <f>_xlfn.XLOOKUP(C40,Menu_Items!$A$2:$A$21,Menu_Items!$B$2:$B$21,"Not Found")</f>
        <v>Paneer Tikka</v>
      </c>
      <c r="N48" t="str">
        <f>_xlfn.XLOOKUP(Orders!D40,Branches!$A$2:$A$6,Branches!$B$2:$B$6,FALSE)</f>
        <v>Royal Dine</v>
      </c>
      <c r="O48" t="str">
        <f>_xlfn.XLOOKUP(Orders!E40,Waiters!$A$2:$A$11,Waiters!$B$2:$B$11,FALSE)</f>
        <v>Arjun</v>
      </c>
      <c r="P48" t="str">
        <f t="shared" si="0"/>
        <v>Normal_Sales</v>
      </c>
      <c r="Q48" t="str">
        <f>IF(Orders!G40&gt;=500,"Premium","Regular")</f>
        <v>Premium</v>
      </c>
    </row>
    <row r="49" spans="1:17" x14ac:dyDescent="0.25">
      <c r="A49" t="s">
        <v>183</v>
      </c>
      <c r="B49">
        <v>1020</v>
      </c>
      <c r="C49" t="s">
        <v>102</v>
      </c>
      <c r="D49">
        <v>1</v>
      </c>
      <c r="E49">
        <v>260</v>
      </c>
      <c r="F49" t="s">
        <v>136</v>
      </c>
      <c r="G49">
        <v>2026</v>
      </c>
      <c r="M49" t="str">
        <f>_xlfn.XLOOKUP(C41,Menu_Items!$A$2:$A$21,Menu_Items!$B$2:$B$21,"Not Found")</f>
        <v>Soup</v>
      </c>
      <c r="N49" t="str">
        <f>_xlfn.XLOOKUP(Orders!D41,Branches!$A$2:$A$6,Branches!$B$2:$B$6,FALSE)</f>
        <v>Urban Kitchen</v>
      </c>
      <c r="O49" t="str">
        <f>_xlfn.XLOOKUP(Orders!E41,Waiters!$A$2:$A$11,Waiters!$B$2:$B$11,FALSE)</f>
        <v>Teja</v>
      </c>
      <c r="P49" t="str">
        <f t="shared" si="0"/>
        <v>Normal_Sales</v>
      </c>
      <c r="Q49" t="str">
        <f>IF(Orders!G41&gt;=500,"Premium","Regular")</f>
        <v>Premium</v>
      </c>
    </row>
    <row r="50" spans="1:17" x14ac:dyDescent="0.25">
      <c r="A50" t="s">
        <v>184</v>
      </c>
      <c r="B50">
        <v>1020</v>
      </c>
      <c r="C50" t="s">
        <v>58</v>
      </c>
      <c r="D50">
        <v>2</v>
      </c>
      <c r="E50">
        <v>500</v>
      </c>
      <c r="F50" t="s">
        <v>136</v>
      </c>
      <c r="G50">
        <v>2026</v>
      </c>
      <c r="M50" t="str">
        <f>_xlfn.XLOOKUP(C42,Menu_Items!$A$2:$A$21,Menu_Items!$B$2:$B$21,"Not Found")</f>
        <v>Paneer Tikka</v>
      </c>
      <c r="N50" t="str">
        <f>_xlfn.XLOOKUP(Orders!D42,Branches!$A$2:$A$6,Branches!$B$2:$B$6,FALSE)</f>
        <v>Paradise Restaurant</v>
      </c>
      <c r="O50" t="str">
        <f>_xlfn.XLOOKUP(Orders!E42,Waiters!$A$2:$A$11,Waiters!$B$2:$B$11,FALSE)</f>
        <v>Mahesh</v>
      </c>
      <c r="P50" t="str">
        <f t="shared" si="0"/>
        <v>Normal_Sales</v>
      </c>
      <c r="Q50" t="str">
        <f>IF(Orders!G42&gt;=500,"Premium","Regular")</f>
        <v>Regular</v>
      </c>
    </row>
    <row r="51" spans="1:17" x14ac:dyDescent="0.25">
      <c r="A51" t="s">
        <v>185</v>
      </c>
      <c r="B51">
        <v>1020</v>
      </c>
      <c r="C51" t="s">
        <v>61</v>
      </c>
      <c r="D51">
        <v>3</v>
      </c>
      <c r="E51">
        <v>1050</v>
      </c>
      <c r="F51" t="s">
        <v>136</v>
      </c>
      <c r="G51">
        <v>2026</v>
      </c>
      <c r="M51" t="str">
        <f>_xlfn.XLOOKUP(C43,Menu_Items!$A$2:$A$21,Menu_Items!$B$2:$B$21,"Not Found")</f>
        <v>Soup</v>
      </c>
      <c r="N51" t="str">
        <f>_xlfn.XLOOKUP(Orders!D43,Branches!$A$2:$A$6,Branches!$B$2:$B$6,FALSE)</f>
        <v>Spice Hub</v>
      </c>
      <c r="O51" t="str">
        <f>_xlfn.XLOOKUP(Orders!E43,Waiters!$A$2:$A$11,Waiters!$B$2:$B$11,FALSE)</f>
        <v>Kiran</v>
      </c>
      <c r="P51" t="str">
        <f t="shared" si="0"/>
        <v>Normal_Sales</v>
      </c>
      <c r="Q51" t="str">
        <f>IF(Orders!G43&gt;=500,"Premium","Regular")</f>
        <v>Premium</v>
      </c>
    </row>
    <row r="52" spans="1:17" x14ac:dyDescent="0.25">
      <c r="A52" t="s">
        <v>186</v>
      </c>
      <c r="B52">
        <v>1021</v>
      </c>
      <c r="C52" t="s">
        <v>58</v>
      </c>
      <c r="D52">
        <v>1</v>
      </c>
      <c r="E52">
        <v>250</v>
      </c>
      <c r="F52" t="s">
        <v>136</v>
      </c>
      <c r="G52">
        <v>2026</v>
      </c>
      <c r="M52" t="str">
        <f>_xlfn.XLOOKUP(C44,Menu_Items!$A$2:$A$21,Menu_Items!$B$2:$B$21,"Not Found")</f>
        <v>Soup</v>
      </c>
      <c r="N52" t="str">
        <f>_xlfn.XLOOKUP(Orders!D44,Branches!$A$2:$A$6,Branches!$B$2:$B$6,FALSE)</f>
        <v>Food Fiesta</v>
      </c>
      <c r="O52" t="str">
        <f>_xlfn.XLOOKUP(Orders!E44,Waiters!$A$2:$A$11,Waiters!$B$2:$B$11,FALSE)</f>
        <v>Ramesh</v>
      </c>
      <c r="P52" t="str">
        <f t="shared" si="0"/>
        <v>Normal_Sales</v>
      </c>
      <c r="Q52" t="str">
        <f>IF(Orders!G44&gt;=500,"Premium","Regular")</f>
        <v>Premium</v>
      </c>
    </row>
    <row r="53" spans="1:17" x14ac:dyDescent="0.25">
      <c r="A53" t="s">
        <v>187</v>
      </c>
      <c r="B53">
        <v>1021</v>
      </c>
      <c r="C53" t="s">
        <v>61</v>
      </c>
      <c r="D53">
        <v>2</v>
      </c>
      <c r="E53">
        <v>700</v>
      </c>
      <c r="F53" t="s">
        <v>136</v>
      </c>
      <c r="G53">
        <v>2026</v>
      </c>
      <c r="M53" t="str">
        <f>_xlfn.XLOOKUP(C45,Menu_Items!$A$2:$A$21,Menu_Items!$B$2:$B$21,"Not Found")</f>
        <v>Sandwich</v>
      </c>
      <c r="N53" t="str">
        <f>_xlfn.XLOOKUP(Orders!D45,Branches!$A$2:$A$6,Branches!$B$2:$B$6,FALSE)</f>
        <v>Royal Dine</v>
      </c>
      <c r="O53" t="str">
        <f>_xlfn.XLOOKUP(Orders!E45,Waiters!$A$2:$A$11,Waiters!$B$2:$B$11,FALSE)</f>
        <v>Praveen</v>
      </c>
      <c r="P53" t="str">
        <f t="shared" si="0"/>
        <v>Normal_Sales</v>
      </c>
      <c r="Q53" t="str">
        <f>IF(Orders!G45&gt;=500,"Premium","Regular")</f>
        <v>Premium</v>
      </c>
    </row>
    <row r="54" spans="1:17" x14ac:dyDescent="0.25">
      <c r="A54" t="s">
        <v>188</v>
      </c>
      <c r="B54">
        <v>1022</v>
      </c>
      <c r="C54" t="s">
        <v>61</v>
      </c>
      <c r="D54">
        <v>1</v>
      </c>
      <c r="E54">
        <v>350</v>
      </c>
      <c r="F54" t="s">
        <v>136</v>
      </c>
      <c r="G54">
        <v>2026</v>
      </c>
      <c r="M54" t="str">
        <f>_xlfn.XLOOKUP(C46,Menu_Items!$A$2:$A$21,Menu_Items!$B$2:$B$21,"Not Found")</f>
        <v>Pasta</v>
      </c>
      <c r="N54" t="str">
        <f>_xlfn.XLOOKUP(Orders!D46,Branches!$A$2:$A$6,Branches!$B$2:$B$6,FALSE)</f>
        <v>Urban Kitchen</v>
      </c>
      <c r="O54" t="str">
        <f>_xlfn.XLOOKUP(Orders!E46,Waiters!$A$2:$A$11,Waiters!$B$2:$B$11,FALSE)</f>
        <v>Suresh</v>
      </c>
      <c r="P54" t="str">
        <f t="shared" si="0"/>
        <v>Normal_Sales</v>
      </c>
      <c r="Q54" t="str">
        <f>IF(Orders!G46&gt;=500,"Premium","Regular")</f>
        <v>Premium</v>
      </c>
    </row>
    <row r="55" spans="1:17" x14ac:dyDescent="0.25">
      <c r="A55" t="s">
        <v>189</v>
      </c>
      <c r="B55">
        <v>1022</v>
      </c>
      <c r="C55" t="s">
        <v>63</v>
      </c>
      <c r="D55">
        <v>2</v>
      </c>
      <c r="E55">
        <v>560</v>
      </c>
      <c r="F55" t="s">
        <v>136</v>
      </c>
      <c r="G55">
        <v>2026</v>
      </c>
      <c r="M55" t="str">
        <f>_xlfn.XLOOKUP(C47,Menu_Items!$A$2:$A$21,Menu_Items!$B$2:$B$21,"Not Found")</f>
        <v>Sandwich</v>
      </c>
      <c r="N55" t="str">
        <f>_xlfn.XLOOKUP(Orders!D47,Branches!$A$2:$A$6,Branches!$B$2:$B$6,FALSE)</f>
        <v>Paradise Restaurant</v>
      </c>
      <c r="O55" t="str">
        <f>_xlfn.XLOOKUP(Orders!E47,Waiters!$A$2:$A$11,Waiters!$B$2:$B$11,FALSE)</f>
        <v>Naveen</v>
      </c>
      <c r="P55" t="str">
        <f t="shared" si="0"/>
        <v>Normal_Sales</v>
      </c>
      <c r="Q55" t="str">
        <f>IF(Orders!G47&gt;=500,"Premium","Regular")</f>
        <v>Premium</v>
      </c>
    </row>
    <row r="56" spans="1:17" x14ac:dyDescent="0.25">
      <c r="A56" t="s">
        <v>190</v>
      </c>
      <c r="B56">
        <v>1022</v>
      </c>
      <c r="C56" t="s">
        <v>65</v>
      </c>
      <c r="D56">
        <v>3</v>
      </c>
      <c r="E56">
        <v>1350</v>
      </c>
      <c r="F56" t="s">
        <v>136</v>
      </c>
      <c r="G56">
        <v>2026</v>
      </c>
      <c r="M56" t="str">
        <f>_xlfn.XLOOKUP(C48,Menu_Items!$A$2:$A$21,Menu_Items!$B$2:$B$21,"Not Found")</f>
        <v>Pasta</v>
      </c>
      <c r="N56" t="str">
        <f>_xlfn.XLOOKUP(Orders!D48,Branches!$A$2:$A$6,Branches!$B$2:$B$6,FALSE)</f>
        <v>Spice Hub</v>
      </c>
      <c r="O56" t="str">
        <f>_xlfn.XLOOKUP(Orders!E48,Waiters!$A$2:$A$11,Waiters!$B$2:$B$11,FALSE)</f>
        <v>Ajay</v>
      </c>
      <c r="P56" t="str">
        <f t="shared" si="0"/>
        <v>Normal_Sales</v>
      </c>
      <c r="Q56" t="str">
        <f>IF(Orders!G48&gt;=500,"Premium","Regular")</f>
        <v>Premium</v>
      </c>
    </row>
    <row r="57" spans="1:17" x14ac:dyDescent="0.25">
      <c r="A57" t="s">
        <v>191</v>
      </c>
      <c r="B57">
        <v>1023</v>
      </c>
      <c r="C57" t="s">
        <v>63</v>
      </c>
      <c r="D57">
        <v>1</v>
      </c>
      <c r="E57">
        <v>280</v>
      </c>
      <c r="F57" t="s">
        <v>399</v>
      </c>
      <c r="G57">
        <v>2026</v>
      </c>
      <c r="M57" t="str">
        <f>_xlfn.XLOOKUP(C49,Menu_Items!$A$2:$A$21,Menu_Items!$B$2:$B$21,"Not Found")</f>
        <v>Pasta</v>
      </c>
      <c r="N57" t="str">
        <f>_xlfn.XLOOKUP(Orders!D49,Branches!$A$2:$A$6,Branches!$B$2:$B$6,FALSE)</f>
        <v>Food Fiesta</v>
      </c>
      <c r="O57" t="str">
        <f>_xlfn.XLOOKUP(Orders!E49,Waiters!$A$2:$A$11,Waiters!$B$2:$B$11,FALSE)</f>
        <v>Vinod</v>
      </c>
      <c r="P57" t="str">
        <f t="shared" si="0"/>
        <v>Normal_Sales</v>
      </c>
      <c r="Q57" t="str">
        <f>IF(Orders!G49&gt;=500,"Premium","Regular")</f>
        <v>Premium</v>
      </c>
    </row>
    <row r="58" spans="1:17" x14ac:dyDescent="0.25">
      <c r="A58" t="s">
        <v>192</v>
      </c>
      <c r="B58">
        <v>1023</v>
      </c>
      <c r="C58" t="s">
        <v>65</v>
      </c>
      <c r="D58">
        <v>2</v>
      </c>
      <c r="E58">
        <v>900</v>
      </c>
      <c r="F58" t="s">
        <v>136</v>
      </c>
      <c r="G58">
        <v>2026</v>
      </c>
      <c r="M58" t="str">
        <f>_xlfn.XLOOKUP(C50,Menu_Items!$A$2:$A$21,Menu_Items!$B$2:$B$21,"Not Found")</f>
        <v>Veg Biryani</v>
      </c>
      <c r="N58" t="str">
        <f>_xlfn.XLOOKUP(Orders!D50,Branches!$A$2:$A$6,Branches!$B$2:$B$6,FALSE)</f>
        <v>Royal Dine</v>
      </c>
      <c r="O58" t="str">
        <f>_xlfn.XLOOKUP(Orders!E50,Waiters!$A$2:$A$11,Waiters!$B$2:$B$11,FALSE)</f>
        <v>Arjun</v>
      </c>
      <c r="P58" t="str">
        <f t="shared" si="0"/>
        <v>Normal_Sales</v>
      </c>
      <c r="Q58" t="str">
        <f>IF(Orders!G50&gt;=500,"Premium","Regular")</f>
        <v>Premium</v>
      </c>
    </row>
    <row r="59" spans="1:17" x14ac:dyDescent="0.25">
      <c r="A59" t="s">
        <v>193</v>
      </c>
      <c r="B59">
        <v>1024</v>
      </c>
      <c r="C59" t="s">
        <v>65</v>
      </c>
      <c r="D59">
        <v>1</v>
      </c>
      <c r="E59">
        <v>450</v>
      </c>
      <c r="F59" t="s">
        <v>136</v>
      </c>
      <c r="G59">
        <v>2026</v>
      </c>
      <c r="M59" t="str">
        <f>_xlfn.XLOOKUP(C51,Menu_Items!$A$2:$A$21,Menu_Items!$B$2:$B$21,"Not Found")</f>
        <v>Chicken Biryani</v>
      </c>
      <c r="N59" t="str">
        <f>_xlfn.XLOOKUP(Orders!D51,Branches!$A$2:$A$6,Branches!$B$2:$B$6,FALSE)</f>
        <v>Urban Kitchen</v>
      </c>
      <c r="O59" t="str">
        <f>_xlfn.XLOOKUP(Orders!E51,Waiters!$A$2:$A$11,Waiters!$B$2:$B$11,FALSE)</f>
        <v>Teja</v>
      </c>
      <c r="P59" t="str">
        <f t="shared" si="0"/>
        <v>High_Sales</v>
      </c>
      <c r="Q59" t="str">
        <f>IF(Orders!G51&gt;=500,"Premium","Regular")</f>
        <v>Premium</v>
      </c>
    </row>
    <row r="60" spans="1:17" x14ac:dyDescent="0.25">
      <c r="A60" t="s">
        <v>194</v>
      </c>
      <c r="B60">
        <v>1024</v>
      </c>
      <c r="C60" t="s">
        <v>68</v>
      </c>
      <c r="D60">
        <v>2</v>
      </c>
      <c r="E60">
        <v>360</v>
      </c>
      <c r="F60" t="s">
        <v>136</v>
      </c>
      <c r="G60">
        <v>2026</v>
      </c>
      <c r="M60" t="str">
        <f>_xlfn.XLOOKUP(C52,Menu_Items!$A$2:$A$21,Menu_Items!$B$2:$B$21,"Not Found")</f>
        <v>Veg Biryani</v>
      </c>
      <c r="N60" t="str">
        <f>_xlfn.XLOOKUP(Orders!D52,Branches!$A$2:$A$6,Branches!$B$2:$B$6,FALSE)</f>
        <v>Paradise Restaurant</v>
      </c>
      <c r="O60" t="str">
        <f>_xlfn.XLOOKUP(Orders!E52,Waiters!$A$2:$A$11,Waiters!$B$2:$B$11,FALSE)</f>
        <v>Mahesh</v>
      </c>
      <c r="P60" t="str">
        <f t="shared" si="0"/>
        <v>Normal_Sales</v>
      </c>
      <c r="Q60" t="str">
        <f>IF(Orders!G52&gt;=500,"Premium","Regular")</f>
        <v>Regular</v>
      </c>
    </row>
    <row r="61" spans="1:17" x14ac:dyDescent="0.25">
      <c r="A61" t="s">
        <v>195</v>
      </c>
      <c r="B61">
        <v>1024</v>
      </c>
      <c r="C61" t="s">
        <v>70</v>
      </c>
      <c r="D61">
        <v>3</v>
      </c>
      <c r="E61">
        <v>360</v>
      </c>
      <c r="F61" t="s">
        <v>136</v>
      </c>
      <c r="G61">
        <v>2026</v>
      </c>
      <c r="M61" t="str">
        <f>_xlfn.XLOOKUP(C53,Menu_Items!$A$2:$A$21,Menu_Items!$B$2:$B$21,"Not Found")</f>
        <v>Chicken Biryani</v>
      </c>
      <c r="N61" t="str">
        <f>_xlfn.XLOOKUP(Orders!D53,Branches!$A$2:$A$6,Branches!$B$2:$B$6,FALSE)</f>
        <v>Spice Hub</v>
      </c>
      <c r="O61" t="str">
        <f>_xlfn.XLOOKUP(Orders!E53,Waiters!$A$2:$A$11,Waiters!$B$2:$B$11,FALSE)</f>
        <v>Kiran</v>
      </c>
      <c r="P61" t="str">
        <f t="shared" si="0"/>
        <v>Normal_Sales</v>
      </c>
      <c r="Q61" t="str">
        <f>IF(Orders!G53&gt;=500,"Premium","Regular")</f>
        <v>Premium</v>
      </c>
    </row>
    <row r="62" spans="1:17" x14ac:dyDescent="0.25">
      <c r="A62" t="s">
        <v>196</v>
      </c>
      <c r="B62">
        <v>1025</v>
      </c>
      <c r="C62" t="s">
        <v>68</v>
      </c>
      <c r="D62">
        <v>1</v>
      </c>
      <c r="E62">
        <v>180</v>
      </c>
      <c r="F62" t="s">
        <v>136</v>
      </c>
      <c r="G62">
        <v>2026</v>
      </c>
      <c r="M62" t="str">
        <f>_xlfn.XLOOKUP(C54,Menu_Items!$A$2:$A$21,Menu_Items!$B$2:$B$21,"Not Found")</f>
        <v>Chicken Biryani</v>
      </c>
      <c r="N62" t="str">
        <f>_xlfn.XLOOKUP(Orders!D54,Branches!$A$2:$A$6,Branches!$B$2:$B$6,FALSE)</f>
        <v>Food Fiesta</v>
      </c>
      <c r="O62" t="str">
        <f>_xlfn.XLOOKUP(Orders!E54,Waiters!$A$2:$A$11,Waiters!$B$2:$B$11,FALSE)</f>
        <v>Ramesh</v>
      </c>
      <c r="P62" t="str">
        <f t="shared" si="0"/>
        <v>Normal_Sales</v>
      </c>
      <c r="Q62" t="str">
        <f>IF(Orders!G54&gt;=500,"Premium","Regular")</f>
        <v>Premium</v>
      </c>
    </row>
    <row r="63" spans="1:17" x14ac:dyDescent="0.25">
      <c r="A63" t="s">
        <v>197</v>
      </c>
      <c r="B63">
        <v>1025</v>
      </c>
      <c r="C63" t="s">
        <v>70</v>
      </c>
      <c r="D63">
        <v>2</v>
      </c>
      <c r="E63">
        <v>240</v>
      </c>
      <c r="F63" t="s">
        <v>136</v>
      </c>
      <c r="G63">
        <v>2026</v>
      </c>
      <c r="M63" t="str">
        <f>_xlfn.XLOOKUP(C55,Menu_Items!$A$2:$A$21,Menu_Items!$B$2:$B$21,"Not Found")</f>
        <v>Paneer Butter Masala</v>
      </c>
      <c r="N63" t="str">
        <f>_xlfn.XLOOKUP(Orders!D55,Branches!$A$2:$A$6,Branches!$B$2:$B$6,FALSE)</f>
        <v>Royal Dine</v>
      </c>
      <c r="O63" t="str">
        <f>_xlfn.XLOOKUP(Orders!E55,Waiters!$A$2:$A$11,Waiters!$B$2:$B$11,FALSE)</f>
        <v>Praveen</v>
      </c>
      <c r="P63" t="str">
        <f t="shared" si="0"/>
        <v>Normal_Sales</v>
      </c>
      <c r="Q63" t="str">
        <f>IF(Orders!G55&gt;=500,"Premium","Regular")</f>
        <v>Premium</v>
      </c>
    </row>
    <row r="64" spans="1:17" x14ac:dyDescent="0.25">
      <c r="A64" t="s">
        <v>198</v>
      </c>
      <c r="B64">
        <v>1026</v>
      </c>
      <c r="C64" t="s">
        <v>70</v>
      </c>
      <c r="D64">
        <v>1</v>
      </c>
      <c r="E64">
        <v>120</v>
      </c>
      <c r="F64" t="s">
        <v>136</v>
      </c>
      <c r="G64">
        <v>2026</v>
      </c>
      <c r="M64" t="str">
        <f>_xlfn.XLOOKUP(C56,Menu_Items!$A$2:$A$21,Menu_Items!$B$2:$B$21,"Not Found")</f>
        <v>Pizza</v>
      </c>
      <c r="N64" t="str">
        <f>_xlfn.XLOOKUP(Orders!D56,Branches!$A$2:$A$6,Branches!$B$2:$B$6,FALSE)</f>
        <v>Urban Kitchen</v>
      </c>
      <c r="O64" t="str">
        <f>_xlfn.XLOOKUP(Orders!E56,Waiters!$A$2:$A$11,Waiters!$B$2:$B$11,FALSE)</f>
        <v>Suresh</v>
      </c>
      <c r="P64" t="str">
        <f t="shared" si="0"/>
        <v>High_Sales</v>
      </c>
      <c r="Q64" t="str">
        <f>IF(Orders!G56&gt;=500,"Premium","Regular")</f>
        <v>Premium</v>
      </c>
    </row>
    <row r="65" spans="1:17" x14ac:dyDescent="0.25">
      <c r="A65" t="s">
        <v>199</v>
      </c>
      <c r="B65">
        <v>1026</v>
      </c>
      <c r="C65" t="s">
        <v>73</v>
      </c>
      <c r="D65">
        <v>2</v>
      </c>
      <c r="E65">
        <v>440</v>
      </c>
      <c r="F65" t="s">
        <v>136</v>
      </c>
      <c r="G65">
        <v>2026</v>
      </c>
      <c r="M65" t="str">
        <f>_xlfn.XLOOKUP(C57,Menu_Items!$A$2:$A$21,Menu_Items!$B$2:$B$21,"Not Found")</f>
        <v>Paneer Butter Masala</v>
      </c>
      <c r="N65" t="str">
        <f>_xlfn.XLOOKUP(Orders!D57,Branches!$A$2:$A$6,Branches!$B$2:$B$6,FALSE)</f>
        <v>Paradise Restaurant</v>
      </c>
      <c r="O65" t="str">
        <f>_xlfn.XLOOKUP(Orders!E57,Waiters!$A$2:$A$11,Waiters!$B$2:$B$11,FALSE)</f>
        <v>Naveen</v>
      </c>
      <c r="P65" t="str">
        <f t="shared" si="0"/>
        <v>Normal_Sales</v>
      </c>
      <c r="Q65" t="str">
        <f>IF(Orders!G57&gt;=500,"Premium","Regular")</f>
        <v>Premium</v>
      </c>
    </row>
    <row r="66" spans="1:17" x14ac:dyDescent="0.25">
      <c r="A66" t="s">
        <v>200</v>
      </c>
      <c r="B66">
        <v>1026</v>
      </c>
      <c r="C66" t="s">
        <v>75</v>
      </c>
      <c r="D66">
        <v>3</v>
      </c>
      <c r="E66">
        <v>720</v>
      </c>
      <c r="F66" t="s">
        <v>136</v>
      </c>
      <c r="G66">
        <v>2026</v>
      </c>
      <c r="M66" t="str">
        <f>_xlfn.XLOOKUP(C58,Menu_Items!$A$2:$A$21,Menu_Items!$B$2:$B$21,"Not Found")</f>
        <v>Pizza</v>
      </c>
      <c r="N66" t="str">
        <f>_xlfn.XLOOKUP(Orders!D58,Branches!$A$2:$A$6,Branches!$B$2:$B$6,FALSE)</f>
        <v>Spice Hub</v>
      </c>
      <c r="O66" t="str">
        <f>_xlfn.XLOOKUP(Orders!E58,Waiters!$A$2:$A$11,Waiters!$B$2:$B$11,FALSE)</f>
        <v>Ajay</v>
      </c>
      <c r="P66" t="str">
        <f t="shared" si="0"/>
        <v>Normal_Sales</v>
      </c>
      <c r="Q66" t="str">
        <f>IF(Orders!G58&gt;=500,"Premium","Regular")</f>
        <v>Premium</v>
      </c>
    </row>
    <row r="67" spans="1:17" x14ac:dyDescent="0.25">
      <c r="A67" t="s">
        <v>201</v>
      </c>
      <c r="B67">
        <v>1027</v>
      </c>
      <c r="C67" t="s">
        <v>73</v>
      </c>
      <c r="D67">
        <v>1</v>
      </c>
      <c r="E67">
        <v>220</v>
      </c>
      <c r="F67" t="s">
        <v>136</v>
      </c>
      <c r="G67">
        <v>2026</v>
      </c>
      <c r="M67" t="str">
        <f>_xlfn.XLOOKUP(C59,Menu_Items!$A$2:$A$21,Menu_Items!$B$2:$B$21,"Not Found")</f>
        <v>Pizza</v>
      </c>
      <c r="N67" t="str">
        <f>_xlfn.XLOOKUP(Orders!D59,Branches!$A$2:$A$6,Branches!$B$2:$B$6,FALSE)</f>
        <v>Food Fiesta</v>
      </c>
      <c r="O67" t="str">
        <f>_xlfn.XLOOKUP(Orders!E59,Waiters!$A$2:$A$11,Waiters!$B$2:$B$11,FALSE)</f>
        <v>Vinod</v>
      </c>
      <c r="P67" t="str">
        <f t="shared" si="0"/>
        <v>Normal_Sales</v>
      </c>
      <c r="Q67" t="str">
        <f>IF(Orders!G59&gt;=500,"Premium","Regular")</f>
        <v>Premium</v>
      </c>
    </row>
    <row r="68" spans="1:17" x14ac:dyDescent="0.25">
      <c r="A68" t="s">
        <v>202</v>
      </c>
      <c r="B68">
        <v>1027</v>
      </c>
      <c r="C68" t="s">
        <v>75</v>
      </c>
      <c r="D68">
        <v>2</v>
      </c>
      <c r="E68">
        <v>480</v>
      </c>
      <c r="F68" t="s">
        <v>136</v>
      </c>
      <c r="G68">
        <v>2026</v>
      </c>
      <c r="M68" t="str">
        <f>_xlfn.XLOOKUP(C60,Menu_Items!$A$2:$A$21,Menu_Items!$B$2:$B$21,"Not Found")</f>
        <v>Burger</v>
      </c>
      <c r="N68" t="str">
        <f>_xlfn.XLOOKUP(Orders!D60,Branches!$A$2:$A$6,Branches!$B$2:$B$6,FALSE)</f>
        <v>Royal Dine</v>
      </c>
      <c r="O68" t="str">
        <f>_xlfn.XLOOKUP(Orders!E60,Waiters!$A$2:$A$11,Waiters!$B$2:$B$11,FALSE)</f>
        <v>Arjun</v>
      </c>
      <c r="P68" t="str">
        <f t="shared" si="0"/>
        <v>Normal_Sales</v>
      </c>
      <c r="Q68" t="str">
        <f>IF(Orders!G60&gt;=500,"Premium","Regular")</f>
        <v>Premium</v>
      </c>
    </row>
    <row r="69" spans="1:17" x14ac:dyDescent="0.25">
      <c r="A69" t="s">
        <v>203</v>
      </c>
      <c r="B69">
        <v>1028</v>
      </c>
      <c r="C69" t="s">
        <v>75</v>
      </c>
      <c r="D69">
        <v>1</v>
      </c>
      <c r="E69">
        <v>240</v>
      </c>
      <c r="F69" t="s">
        <v>136</v>
      </c>
      <c r="G69">
        <v>2026</v>
      </c>
      <c r="M69" t="str">
        <f>_xlfn.XLOOKUP(C61,Menu_Items!$A$2:$A$21,Menu_Items!$B$2:$B$21,"Not Found")</f>
        <v>French Fries</v>
      </c>
      <c r="N69" t="str">
        <f>_xlfn.XLOOKUP(Orders!D61,Branches!$A$2:$A$6,Branches!$B$2:$B$6,FALSE)</f>
        <v>Urban Kitchen</v>
      </c>
      <c r="O69" t="str">
        <f>_xlfn.XLOOKUP(Orders!E61,Waiters!$A$2:$A$11,Waiters!$B$2:$B$11,FALSE)</f>
        <v>Teja</v>
      </c>
      <c r="P69" t="str">
        <f t="shared" si="0"/>
        <v>Normal_Sales</v>
      </c>
      <c r="Q69" t="str">
        <f>IF(Orders!G61&gt;=500,"Premium","Regular")</f>
        <v>Premium</v>
      </c>
    </row>
    <row r="70" spans="1:17" x14ac:dyDescent="0.25">
      <c r="A70" t="s">
        <v>204</v>
      </c>
      <c r="B70">
        <v>1028</v>
      </c>
      <c r="C70" t="s">
        <v>77</v>
      </c>
      <c r="D70">
        <v>2</v>
      </c>
      <c r="E70">
        <v>300</v>
      </c>
      <c r="F70" t="s">
        <v>136</v>
      </c>
      <c r="G70">
        <v>2026</v>
      </c>
      <c r="M70" t="str">
        <f>_xlfn.XLOOKUP(C62,Menu_Items!$A$2:$A$21,Menu_Items!$B$2:$B$21,"Not Found")</f>
        <v>Burger</v>
      </c>
      <c r="N70" t="str">
        <f>_xlfn.XLOOKUP(Orders!D62,Branches!$A$2:$A$6,Branches!$B$2:$B$6,FALSE)</f>
        <v>Paradise Restaurant</v>
      </c>
      <c r="O70" t="str">
        <f>_xlfn.XLOOKUP(Orders!E62,Waiters!$A$2:$A$11,Waiters!$B$2:$B$11,FALSE)</f>
        <v>Mahesh</v>
      </c>
      <c r="P70" t="str">
        <f t="shared" si="0"/>
        <v>Normal_Sales</v>
      </c>
      <c r="Q70" t="str">
        <f>IF(Orders!G62&gt;=500,"Premium","Regular")</f>
        <v>Regular</v>
      </c>
    </row>
    <row r="71" spans="1:17" x14ac:dyDescent="0.25">
      <c r="A71" t="s">
        <v>205</v>
      </c>
      <c r="B71">
        <v>1028</v>
      </c>
      <c r="C71" t="s">
        <v>80</v>
      </c>
      <c r="D71">
        <v>3</v>
      </c>
      <c r="E71">
        <v>540</v>
      </c>
      <c r="F71" t="s">
        <v>136</v>
      </c>
      <c r="G71">
        <v>2026</v>
      </c>
      <c r="M71" t="str">
        <f>_xlfn.XLOOKUP(C63,Menu_Items!$A$2:$A$21,Menu_Items!$B$2:$B$21,"Not Found")</f>
        <v>French Fries</v>
      </c>
      <c r="N71" t="str">
        <f>_xlfn.XLOOKUP(Orders!D63,Branches!$A$2:$A$6,Branches!$B$2:$B$6,FALSE)</f>
        <v>Spice Hub</v>
      </c>
      <c r="O71" t="str">
        <f>_xlfn.XLOOKUP(Orders!E63,Waiters!$A$2:$A$11,Waiters!$B$2:$B$11,FALSE)</f>
        <v>Kiran</v>
      </c>
      <c r="P71" t="str">
        <f t="shared" si="0"/>
        <v>Normal_Sales</v>
      </c>
      <c r="Q71" t="str">
        <f>IF(Orders!G63&gt;=500,"Premium","Regular")</f>
        <v>Premium</v>
      </c>
    </row>
    <row r="72" spans="1:17" x14ac:dyDescent="0.25">
      <c r="A72" t="s">
        <v>206</v>
      </c>
      <c r="B72">
        <v>1029</v>
      </c>
      <c r="C72" t="s">
        <v>77</v>
      </c>
      <c r="D72">
        <v>1</v>
      </c>
      <c r="E72">
        <v>150</v>
      </c>
      <c r="F72" t="s">
        <v>136</v>
      </c>
      <c r="G72">
        <v>2026</v>
      </c>
      <c r="M72" t="str">
        <f>_xlfn.XLOOKUP(C64,Menu_Items!$A$2:$A$21,Menu_Items!$B$2:$B$21,"Not Found")</f>
        <v>French Fries</v>
      </c>
      <c r="N72" t="str">
        <f>_xlfn.XLOOKUP(Orders!D64,Branches!$A$2:$A$6,Branches!$B$2:$B$6,FALSE)</f>
        <v>Food Fiesta</v>
      </c>
      <c r="O72" t="str">
        <f>_xlfn.XLOOKUP(Orders!E64,Waiters!$A$2:$A$11,Waiters!$B$2:$B$11,FALSE)</f>
        <v>Ramesh</v>
      </c>
      <c r="P72" t="str">
        <f t="shared" si="0"/>
        <v>Normal_Sales</v>
      </c>
      <c r="Q72" t="str">
        <f>IF(Orders!G64&gt;=500,"Premium","Regular")</f>
        <v>Premium</v>
      </c>
    </row>
    <row r="73" spans="1:17" x14ac:dyDescent="0.25">
      <c r="A73" t="s">
        <v>207</v>
      </c>
      <c r="B73">
        <v>1029</v>
      </c>
      <c r="C73" t="s">
        <v>80</v>
      </c>
      <c r="D73">
        <v>2</v>
      </c>
      <c r="E73">
        <v>360</v>
      </c>
      <c r="F73" t="s">
        <v>136</v>
      </c>
      <c r="G73">
        <v>2026</v>
      </c>
      <c r="M73" t="str">
        <f>_xlfn.XLOOKUP(C65,Menu_Items!$A$2:$A$21,Menu_Items!$B$2:$B$21,"Not Found")</f>
        <v>Noodles</v>
      </c>
      <c r="N73" t="str">
        <f>_xlfn.XLOOKUP(Orders!D65,Branches!$A$2:$A$6,Branches!$B$2:$B$6,FALSE)</f>
        <v>Royal Dine</v>
      </c>
      <c r="O73" t="str">
        <f>_xlfn.XLOOKUP(Orders!E65,Waiters!$A$2:$A$11,Waiters!$B$2:$B$11,FALSE)</f>
        <v>Praveen</v>
      </c>
      <c r="P73" t="str">
        <f t="shared" si="0"/>
        <v>Normal_Sales</v>
      </c>
      <c r="Q73" t="str">
        <f>IF(Orders!G65&gt;=500,"Premium","Regular")</f>
        <v>Premium</v>
      </c>
    </row>
    <row r="74" spans="1:17" x14ac:dyDescent="0.25">
      <c r="A74" t="s">
        <v>208</v>
      </c>
      <c r="B74">
        <v>1030</v>
      </c>
      <c r="C74" t="s">
        <v>80</v>
      </c>
      <c r="D74">
        <v>1</v>
      </c>
      <c r="E74">
        <v>180</v>
      </c>
      <c r="F74" t="s">
        <v>136</v>
      </c>
      <c r="G74">
        <v>2026</v>
      </c>
      <c r="M74" t="str">
        <f>_xlfn.XLOOKUP(C66,Menu_Items!$A$2:$A$21,Menu_Items!$B$2:$B$21,"Not Found")</f>
        <v>Fried Rice</v>
      </c>
      <c r="N74" t="str">
        <f>_xlfn.XLOOKUP(Orders!D66,Branches!$A$2:$A$6,Branches!$B$2:$B$6,FALSE)</f>
        <v>Urban Kitchen</v>
      </c>
      <c r="O74" t="str">
        <f>_xlfn.XLOOKUP(Orders!E66,Waiters!$A$2:$A$11,Waiters!$B$2:$B$11,FALSE)</f>
        <v>Suresh</v>
      </c>
      <c r="P74" t="str">
        <f t="shared" ref="P74:P137" si="1">IF(E66&gt;=1000,"High_Sales","Normal_Sales")</f>
        <v>Normal_Sales</v>
      </c>
      <c r="Q74" t="str">
        <f>IF(Orders!G66&gt;=500,"Premium","Regular")</f>
        <v>Premium</v>
      </c>
    </row>
    <row r="75" spans="1:17" x14ac:dyDescent="0.25">
      <c r="A75" t="s">
        <v>209</v>
      </c>
      <c r="B75">
        <v>1030</v>
      </c>
      <c r="C75" t="s">
        <v>82</v>
      </c>
      <c r="D75">
        <v>2</v>
      </c>
      <c r="E75">
        <v>200</v>
      </c>
      <c r="F75" t="s">
        <v>136</v>
      </c>
      <c r="G75">
        <v>2026</v>
      </c>
      <c r="M75" t="str">
        <f>_xlfn.XLOOKUP(C67,Menu_Items!$A$2:$A$21,Menu_Items!$B$2:$B$21,"Not Found")</f>
        <v>Noodles</v>
      </c>
      <c r="N75" t="str">
        <f>_xlfn.XLOOKUP(Orders!D67,Branches!$A$2:$A$6,Branches!$B$2:$B$6,FALSE)</f>
        <v>Paradise Restaurant</v>
      </c>
      <c r="O75" t="str">
        <f>_xlfn.XLOOKUP(Orders!E67,Waiters!$A$2:$A$11,Waiters!$B$2:$B$11,FALSE)</f>
        <v>Naveen</v>
      </c>
      <c r="P75" t="str">
        <f t="shared" si="1"/>
        <v>Normal_Sales</v>
      </c>
      <c r="Q75" t="str">
        <f>IF(Orders!G67&gt;=500,"Premium","Regular")</f>
        <v>Premium</v>
      </c>
    </row>
    <row r="76" spans="1:17" x14ac:dyDescent="0.25">
      <c r="A76" t="s">
        <v>210</v>
      </c>
      <c r="B76">
        <v>1030</v>
      </c>
      <c r="C76" t="s">
        <v>84</v>
      </c>
      <c r="D76">
        <v>3</v>
      </c>
      <c r="E76">
        <v>180</v>
      </c>
      <c r="F76" t="s">
        <v>136</v>
      </c>
      <c r="G76">
        <v>2026</v>
      </c>
      <c r="M76" t="str">
        <f>_xlfn.XLOOKUP(C68,Menu_Items!$A$2:$A$21,Menu_Items!$B$2:$B$21,"Not Found")</f>
        <v>Fried Rice</v>
      </c>
      <c r="N76" t="str">
        <f>_xlfn.XLOOKUP(Orders!D68,Branches!$A$2:$A$6,Branches!$B$2:$B$6,FALSE)</f>
        <v>Spice Hub</v>
      </c>
      <c r="O76" t="str">
        <f>_xlfn.XLOOKUP(Orders!E68,Waiters!$A$2:$A$11,Waiters!$B$2:$B$11,FALSE)</f>
        <v>Ajay</v>
      </c>
      <c r="P76" t="str">
        <f t="shared" si="1"/>
        <v>Normal_Sales</v>
      </c>
      <c r="Q76" t="str">
        <f>IF(Orders!G68&gt;=500,"Premium","Regular")</f>
        <v>Premium</v>
      </c>
    </row>
    <row r="77" spans="1:17" x14ac:dyDescent="0.25">
      <c r="A77" t="s">
        <v>211</v>
      </c>
      <c r="B77">
        <v>1031</v>
      </c>
      <c r="C77" t="s">
        <v>82</v>
      </c>
      <c r="D77">
        <v>1</v>
      </c>
      <c r="E77">
        <v>100</v>
      </c>
      <c r="F77" t="s">
        <v>136</v>
      </c>
      <c r="G77">
        <v>2026</v>
      </c>
      <c r="M77" t="str">
        <f>_xlfn.XLOOKUP(C69,Menu_Items!$A$2:$A$21,Menu_Items!$B$2:$B$21,"Not Found")</f>
        <v>Fried Rice</v>
      </c>
      <c r="N77" t="str">
        <f>_xlfn.XLOOKUP(Orders!D69,Branches!$A$2:$A$6,Branches!$B$2:$B$6,FALSE)</f>
        <v>Food Fiesta</v>
      </c>
      <c r="O77" t="str">
        <f>_xlfn.XLOOKUP(Orders!E69,Waiters!$A$2:$A$11,Waiters!$B$2:$B$11,FALSE)</f>
        <v>Vinod</v>
      </c>
      <c r="P77" t="str">
        <f t="shared" si="1"/>
        <v>Normal_Sales</v>
      </c>
      <c r="Q77" t="str">
        <f>IF(Orders!G69&gt;=500,"Premium","Regular")</f>
        <v>Premium</v>
      </c>
    </row>
    <row r="78" spans="1:17" x14ac:dyDescent="0.25">
      <c r="A78" t="s">
        <v>212</v>
      </c>
      <c r="B78">
        <v>1031</v>
      </c>
      <c r="C78" t="s">
        <v>84</v>
      </c>
      <c r="D78">
        <v>2</v>
      </c>
      <c r="E78">
        <v>120</v>
      </c>
      <c r="F78" t="s">
        <v>136</v>
      </c>
      <c r="G78">
        <v>2026</v>
      </c>
      <c r="M78" t="str">
        <f>_xlfn.XLOOKUP(C70,Menu_Items!$A$2:$A$21,Menu_Items!$B$2:$B$21,"Not Found")</f>
        <v>Ice Cream</v>
      </c>
      <c r="N78" t="str">
        <f>_xlfn.XLOOKUP(Orders!D70,Branches!$A$2:$A$6,Branches!$B$2:$B$6,FALSE)</f>
        <v>Royal Dine</v>
      </c>
      <c r="O78" t="str">
        <f>_xlfn.XLOOKUP(Orders!E70,Waiters!$A$2:$A$11,Waiters!$B$2:$B$11,FALSE)</f>
        <v>Arjun</v>
      </c>
      <c r="P78" t="str">
        <f t="shared" si="1"/>
        <v>Normal_Sales</v>
      </c>
      <c r="Q78" t="str">
        <f>IF(Orders!G70&gt;=500,"Premium","Regular")</f>
        <v>Premium</v>
      </c>
    </row>
    <row r="79" spans="1:17" x14ac:dyDescent="0.25">
      <c r="A79" t="s">
        <v>213</v>
      </c>
      <c r="B79">
        <v>1032</v>
      </c>
      <c r="C79" t="s">
        <v>84</v>
      </c>
      <c r="D79">
        <v>1</v>
      </c>
      <c r="E79">
        <v>60</v>
      </c>
      <c r="F79" t="s">
        <v>136</v>
      </c>
      <c r="G79">
        <v>2026</v>
      </c>
      <c r="M79" t="str">
        <f>_xlfn.XLOOKUP(C71,Menu_Items!$A$2:$A$21,Menu_Items!$B$2:$B$21,"Not Found")</f>
        <v>Brownie</v>
      </c>
      <c r="N79" t="str">
        <f>_xlfn.XLOOKUP(Orders!D71,Branches!$A$2:$A$6,Branches!$B$2:$B$6,FALSE)</f>
        <v>Urban Kitchen</v>
      </c>
      <c r="O79" t="str">
        <f>_xlfn.XLOOKUP(Orders!E71,Waiters!$A$2:$A$11,Waiters!$B$2:$B$11,FALSE)</f>
        <v>Teja</v>
      </c>
      <c r="P79" t="str">
        <f t="shared" si="1"/>
        <v>Normal_Sales</v>
      </c>
      <c r="Q79" t="str">
        <f>IF(Orders!G71&gt;=500,"Premium","Regular")</f>
        <v>Premium</v>
      </c>
    </row>
    <row r="80" spans="1:17" x14ac:dyDescent="0.25">
      <c r="A80" t="s">
        <v>214</v>
      </c>
      <c r="B80">
        <v>1032</v>
      </c>
      <c r="C80" t="s">
        <v>87</v>
      </c>
      <c r="D80">
        <v>2</v>
      </c>
      <c r="E80">
        <v>120</v>
      </c>
      <c r="F80" t="s">
        <v>136</v>
      </c>
      <c r="G80">
        <v>2026</v>
      </c>
      <c r="M80" t="str">
        <f>_xlfn.XLOOKUP(C72,Menu_Items!$A$2:$A$21,Menu_Items!$B$2:$B$21,"Not Found")</f>
        <v>Ice Cream</v>
      </c>
      <c r="N80" t="str">
        <f>_xlfn.XLOOKUP(Orders!D72,Branches!$A$2:$A$6,Branches!$B$2:$B$6,FALSE)</f>
        <v>Paradise Restaurant</v>
      </c>
      <c r="O80" t="str">
        <f>_xlfn.XLOOKUP(Orders!E72,Waiters!$A$2:$A$11,Waiters!$B$2:$B$11,FALSE)</f>
        <v>Mahesh</v>
      </c>
      <c r="P80" t="str">
        <f t="shared" si="1"/>
        <v>Normal_Sales</v>
      </c>
      <c r="Q80" t="str">
        <f>IF(Orders!G72&gt;=500,"Premium","Regular")</f>
        <v>Regular</v>
      </c>
    </row>
    <row r="81" spans="1:17" x14ac:dyDescent="0.25">
      <c r="A81" t="s">
        <v>215</v>
      </c>
      <c r="B81">
        <v>1032</v>
      </c>
      <c r="C81" t="s">
        <v>89</v>
      </c>
      <c r="D81">
        <v>3</v>
      </c>
      <c r="E81">
        <v>240</v>
      </c>
      <c r="F81" t="s">
        <v>136</v>
      </c>
      <c r="G81">
        <v>2026</v>
      </c>
      <c r="M81" t="str">
        <f>_xlfn.XLOOKUP(C73,Menu_Items!$A$2:$A$21,Menu_Items!$B$2:$B$21,"Not Found")</f>
        <v>Brownie</v>
      </c>
      <c r="N81" t="str">
        <f>_xlfn.XLOOKUP(Orders!D73,Branches!$A$2:$A$6,Branches!$B$2:$B$6,FALSE)</f>
        <v>Spice Hub</v>
      </c>
      <c r="O81" t="str">
        <f>_xlfn.XLOOKUP(Orders!E73,Waiters!$A$2:$A$11,Waiters!$B$2:$B$11,FALSE)</f>
        <v>Kiran</v>
      </c>
      <c r="P81" t="str">
        <f t="shared" si="1"/>
        <v>Normal_Sales</v>
      </c>
      <c r="Q81" t="str">
        <f>IF(Orders!G73&gt;=500,"Premium","Regular")</f>
        <v>Premium</v>
      </c>
    </row>
    <row r="82" spans="1:17" x14ac:dyDescent="0.25">
      <c r="A82" t="s">
        <v>216</v>
      </c>
      <c r="B82">
        <v>1033</v>
      </c>
      <c r="C82" t="s">
        <v>87</v>
      </c>
      <c r="D82">
        <v>1</v>
      </c>
      <c r="E82">
        <v>60</v>
      </c>
      <c r="F82" t="s">
        <v>136</v>
      </c>
      <c r="G82">
        <v>2026</v>
      </c>
      <c r="M82" t="str">
        <f>_xlfn.XLOOKUP(C74,Menu_Items!$A$2:$A$21,Menu_Items!$B$2:$B$21,"Not Found")</f>
        <v>Brownie</v>
      </c>
      <c r="N82" t="str">
        <f>_xlfn.XLOOKUP(Orders!D74,Branches!$A$2:$A$6,Branches!$B$2:$B$6,FALSE)</f>
        <v>Food Fiesta</v>
      </c>
      <c r="O82" t="str">
        <f>_xlfn.XLOOKUP(Orders!E74,Waiters!$A$2:$A$11,Waiters!$B$2:$B$11,FALSE)</f>
        <v>Ramesh</v>
      </c>
      <c r="P82" t="str">
        <f t="shared" si="1"/>
        <v>Normal_Sales</v>
      </c>
      <c r="Q82" t="str">
        <f>IF(Orders!G74&gt;=500,"Premium","Regular")</f>
        <v>Premium</v>
      </c>
    </row>
    <row r="83" spans="1:17" x14ac:dyDescent="0.25">
      <c r="A83" t="s">
        <v>217</v>
      </c>
      <c r="B83">
        <v>1033</v>
      </c>
      <c r="C83" t="s">
        <v>89</v>
      </c>
      <c r="D83">
        <v>2</v>
      </c>
      <c r="E83">
        <v>160</v>
      </c>
      <c r="F83" t="s">
        <v>136</v>
      </c>
      <c r="G83">
        <v>2026</v>
      </c>
      <c r="M83" t="str">
        <f>_xlfn.XLOOKUP(C75,Menu_Items!$A$2:$A$21,Menu_Items!$B$2:$B$21,"Not Found")</f>
        <v>Gulab Jamun</v>
      </c>
      <c r="N83" t="str">
        <f>_xlfn.XLOOKUP(Orders!D75,Branches!$A$2:$A$6,Branches!$B$2:$B$6,FALSE)</f>
        <v>Royal Dine</v>
      </c>
      <c r="O83" t="str">
        <f>_xlfn.XLOOKUP(Orders!E75,Waiters!$A$2:$A$11,Waiters!$B$2:$B$11,FALSE)</f>
        <v>Praveen</v>
      </c>
      <c r="P83" t="str">
        <f t="shared" si="1"/>
        <v>Normal_Sales</v>
      </c>
      <c r="Q83" t="str">
        <f>IF(Orders!G75&gt;=500,"Premium","Regular")</f>
        <v>Premium</v>
      </c>
    </row>
    <row r="84" spans="1:17" x14ac:dyDescent="0.25">
      <c r="A84" t="s">
        <v>218</v>
      </c>
      <c r="B84">
        <v>1034</v>
      </c>
      <c r="C84" t="s">
        <v>89</v>
      </c>
      <c r="D84">
        <v>1</v>
      </c>
      <c r="E84">
        <v>80</v>
      </c>
      <c r="F84" t="s">
        <v>136</v>
      </c>
      <c r="G84">
        <v>2026</v>
      </c>
      <c r="M84" t="str">
        <f>_xlfn.XLOOKUP(C76,Menu_Items!$A$2:$A$21,Menu_Items!$B$2:$B$21,"Not Found")</f>
        <v>Coke</v>
      </c>
      <c r="N84" t="str">
        <f>_xlfn.XLOOKUP(Orders!D76,Branches!$A$2:$A$6,Branches!$B$2:$B$6,FALSE)</f>
        <v>Urban Kitchen</v>
      </c>
      <c r="O84" t="str">
        <f>_xlfn.XLOOKUP(Orders!E76,Waiters!$A$2:$A$11,Waiters!$B$2:$B$11,FALSE)</f>
        <v>Suresh</v>
      </c>
      <c r="P84" t="str">
        <f t="shared" si="1"/>
        <v>Normal_Sales</v>
      </c>
      <c r="Q84" t="str">
        <f>IF(Orders!G76&gt;=500,"Premium","Regular")</f>
        <v>Premium</v>
      </c>
    </row>
    <row r="85" spans="1:17" x14ac:dyDescent="0.25">
      <c r="A85" t="s">
        <v>219</v>
      </c>
      <c r="B85">
        <v>1034</v>
      </c>
      <c r="C85" t="s">
        <v>91</v>
      </c>
      <c r="D85">
        <v>2</v>
      </c>
      <c r="E85">
        <v>80</v>
      </c>
      <c r="F85" t="s">
        <v>136</v>
      </c>
      <c r="G85">
        <v>2026</v>
      </c>
      <c r="M85" t="str">
        <f>_xlfn.XLOOKUP(C77,Menu_Items!$A$2:$A$21,Menu_Items!$B$2:$B$21,"Not Found")</f>
        <v>Gulab Jamun</v>
      </c>
      <c r="N85" t="str">
        <f>_xlfn.XLOOKUP(Orders!D77,Branches!$A$2:$A$6,Branches!$B$2:$B$6,FALSE)</f>
        <v>Paradise Restaurant</v>
      </c>
      <c r="O85" t="str">
        <f>_xlfn.XLOOKUP(Orders!E77,Waiters!$A$2:$A$11,Waiters!$B$2:$B$11,FALSE)</f>
        <v>Naveen</v>
      </c>
      <c r="P85" t="str">
        <f t="shared" si="1"/>
        <v>Normal_Sales</v>
      </c>
      <c r="Q85" t="str">
        <f>IF(Orders!G77&gt;=500,"Premium","Regular")</f>
        <v>Premium</v>
      </c>
    </row>
    <row r="86" spans="1:17" x14ac:dyDescent="0.25">
      <c r="A86" t="s">
        <v>220</v>
      </c>
      <c r="B86">
        <v>1034</v>
      </c>
      <c r="C86" t="s">
        <v>93</v>
      </c>
      <c r="D86">
        <v>3</v>
      </c>
      <c r="E86">
        <v>900</v>
      </c>
      <c r="F86" t="s">
        <v>136</v>
      </c>
      <c r="G86">
        <v>2026</v>
      </c>
      <c r="M86" t="str">
        <f>_xlfn.XLOOKUP(C78,Menu_Items!$A$2:$A$21,Menu_Items!$B$2:$B$21,"Not Found")</f>
        <v>Coke</v>
      </c>
      <c r="N86" t="str">
        <f>_xlfn.XLOOKUP(Orders!D78,Branches!$A$2:$A$6,Branches!$B$2:$B$6,FALSE)</f>
        <v>Spice Hub</v>
      </c>
      <c r="O86" t="str">
        <f>_xlfn.XLOOKUP(Orders!E78,Waiters!$A$2:$A$11,Waiters!$B$2:$B$11,FALSE)</f>
        <v>Ajay</v>
      </c>
      <c r="P86" t="str">
        <f t="shared" si="1"/>
        <v>Normal_Sales</v>
      </c>
      <c r="Q86" t="str">
        <f>IF(Orders!G78&gt;=500,"Premium","Regular")</f>
        <v>Premium</v>
      </c>
    </row>
    <row r="87" spans="1:17" x14ac:dyDescent="0.25">
      <c r="A87" t="s">
        <v>221</v>
      </c>
      <c r="B87">
        <v>1035</v>
      </c>
      <c r="C87" t="s">
        <v>91</v>
      </c>
      <c r="D87">
        <v>1</v>
      </c>
      <c r="E87">
        <v>40</v>
      </c>
      <c r="F87" t="s">
        <v>136</v>
      </c>
      <c r="G87">
        <v>2026</v>
      </c>
      <c r="M87" t="str">
        <f>_xlfn.XLOOKUP(C79,Menu_Items!$A$2:$A$21,Menu_Items!$B$2:$B$21,"Not Found")</f>
        <v>Coke</v>
      </c>
      <c r="N87" t="str">
        <f>_xlfn.XLOOKUP(Orders!D79,Branches!$A$2:$A$6,Branches!$B$2:$B$6,FALSE)</f>
        <v>Food Fiesta</v>
      </c>
      <c r="O87" t="str">
        <f>_xlfn.XLOOKUP(Orders!E79,Waiters!$A$2:$A$11,Waiters!$B$2:$B$11,FALSE)</f>
        <v>Vinod</v>
      </c>
      <c r="P87" t="str">
        <f t="shared" si="1"/>
        <v>Normal_Sales</v>
      </c>
      <c r="Q87" t="str">
        <f>IF(Orders!G79&gt;=500,"Premium","Regular")</f>
        <v>Premium</v>
      </c>
    </row>
    <row r="88" spans="1:17" x14ac:dyDescent="0.25">
      <c r="A88" t="s">
        <v>222</v>
      </c>
      <c r="B88">
        <v>1035</v>
      </c>
      <c r="C88" t="s">
        <v>93</v>
      </c>
      <c r="D88">
        <v>2</v>
      </c>
      <c r="E88">
        <v>600</v>
      </c>
      <c r="F88" t="s">
        <v>136</v>
      </c>
      <c r="G88">
        <v>2026</v>
      </c>
      <c r="M88" t="str">
        <f>_xlfn.XLOOKUP(C80,Menu_Items!$A$2:$A$21,Menu_Items!$B$2:$B$21,"Not Found")</f>
        <v>Pepsi</v>
      </c>
      <c r="N88" t="str">
        <f>_xlfn.XLOOKUP(Orders!D80,Branches!$A$2:$A$6,Branches!$B$2:$B$6,FALSE)</f>
        <v>Royal Dine</v>
      </c>
      <c r="O88" t="str">
        <f>_xlfn.XLOOKUP(Orders!E80,Waiters!$A$2:$A$11,Waiters!$B$2:$B$11,FALSE)</f>
        <v>Arjun</v>
      </c>
      <c r="P88" t="str">
        <f t="shared" si="1"/>
        <v>Normal_Sales</v>
      </c>
      <c r="Q88" t="str">
        <f>IF(Orders!G80&gt;=500,"Premium","Regular")</f>
        <v>Premium</v>
      </c>
    </row>
    <row r="89" spans="1:17" x14ac:dyDescent="0.25">
      <c r="A89" t="s">
        <v>223</v>
      </c>
      <c r="B89">
        <v>1036</v>
      </c>
      <c r="C89" t="s">
        <v>93</v>
      </c>
      <c r="D89">
        <v>1</v>
      </c>
      <c r="E89">
        <v>300</v>
      </c>
      <c r="F89" t="s">
        <v>136</v>
      </c>
      <c r="G89">
        <v>2026</v>
      </c>
      <c r="M89" t="str">
        <f>_xlfn.XLOOKUP(C81,Menu_Items!$A$2:$A$21,Menu_Items!$B$2:$B$21,"Not Found")</f>
        <v>Coffee</v>
      </c>
      <c r="N89" t="str">
        <f>_xlfn.XLOOKUP(Orders!D81,Branches!$A$2:$A$6,Branches!$B$2:$B$6,FALSE)</f>
        <v>Urban Kitchen</v>
      </c>
      <c r="O89" t="str">
        <f>_xlfn.XLOOKUP(Orders!E81,Waiters!$A$2:$A$11,Waiters!$B$2:$B$11,FALSE)</f>
        <v>Teja</v>
      </c>
      <c r="P89" t="str">
        <f t="shared" si="1"/>
        <v>Normal_Sales</v>
      </c>
      <c r="Q89" t="str">
        <f>IF(Orders!G81&gt;=500,"Premium","Regular")</f>
        <v>Premium</v>
      </c>
    </row>
    <row r="90" spans="1:17" x14ac:dyDescent="0.25">
      <c r="A90" t="s">
        <v>224</v>
      </c>
      <c r="B90">
        <v>1036</v>
      </c>
      <c r="C90" t="s">
        <v>96</v>
      </c>
      <c r="D90">
        <v>2</v>
      </c>
      <c r="E90">
        <v>560</v>
      </c>
      <c r="F90" t="s">
        <v>136</v>
      </c>
      <c r="G90">
        <v>2026</v>
      </c>
      <c r="M90" t="str">
        <f>_xlfn.XLOOKUP(C82,Menu_Items!$A$2:$A$21,Menu_Items!$B$2:$B$21,"Not Found")</f>
        <v>Pepsi</v>
      </c>
      <c r="N90" t="str">
        <f>_xlfn.XLOOKUP(Orders!D82,Branches!$A$2:$A$6,Branches!$B$2:$B$6,FALSE)</f>
        <v>Paradise Restaurant</v>
      </c>
      <c r="O90" t="str">
        <f>_xlfn.XLOOKUP(Orders!E82,Waiters!$A$2:$A$11,Waiters!$B$2:$B$11,FALSE)</f>
        <v>Mahesh</v>
      </c>
      <c r="P90" t="str">
        <f t="shared" si="1"/>
        <v>Normal_Sales</v>
      </c>
      <c r="Q90" t="str">
        <f>IF(Orders!G82&gt;=500,"Premium","Regular")</f>
        <v>Regular</v>
      </c>
    </row>
    <row r="91" spans="1:17" x14ac:dyDescent="0.25">
      <c r="A91" t="s">
        <v>225</v>
      </c>
      <c r="B91">
        <v>1036</v>
      </c>
      <c r="C91" t="s">
        <v>98</v>
      </c>
      <c r="D91">
        <v>3</v>
      </c>
      <c r="E91">
        <v>360</v>
      </c>
      <c r="F91" t="s">
        <v>136</v>
      </c>
      <c r="G91">
        <v>2026</v>
      </c>
      <c r="M91" t="str">
        <f>_xlfn.XLOOKUP(C83,Menu_Items!$A$2:$A$21,Menu_Items!$B$2:$B$21,"Not Found")</f>
        <v>Coffee</v>
      </c>
      <c r="N91" t="str">
        <f>_xlfn.XLOOKUP(Orders!D83,Branches!$A$2:$A$6,Branches!$B$2:$B$6,FALSE)</f>
        <v>Spice Hub</v>
      </c>
      <c r="O91" t="str">
        <f>_xlfn.XLOOKUP(Orders!E83,Waiters!$A$2:$A$11,Waiters!$B$2:$B$11,FALSE)</f>
        <v>Kiran</v>
      </c>
      <c r="P91" t="str">
        <f t="shared" si="1"/>
        <v>Normal_Sales</v>
      </c>
      <c r="Q91" t="str">
        <f>IF(Orders!G83&gt;=500,"Premium","Regular")</f>
        <v>Premium</v>
      </c>
    </row>
    <row r="92" spans="1:17" x14ac:dyDescent="0.25">
      <c r="A92" t="s">
        <v>226</v>
      </c>
      <c r="B92">
        <v>1037</v>
      </c>
      <c r="C92" t="s">
        <v>96</v>
      </c>
      <c r="D92">
        <v>1</v>
      </c>
      <c r="E92">
        <v>280</v>
      </c>
      <c r="F92" t="s">
        <v>136</v>
      </c>
      <c r="G92">
        <v>2026</v>
      </c>
      <c r="M92" t="str">
        <f>_xlfn.XLOOKUP(C84,Menu_Items!$A$2:$A$21,Menu_Items!$B$2:$B$21,"Not Found")</f>
        <v>Coffee</v>
      </c>
      <c r="N92" t="str">
        <f>_xlfn.XLOOKUP(Orders!D84,Branches!$A$2:$A$6,Branches!$B$2:$B$6,FALSE)</f>
        <v>Food Fiesta</v>
      </c>
      <c r="O92" t="str">
        <f>_xlfn.XLOOKUP(Orders!E84,Waiters!$A$2:$A$11,Waiters!$B$2:$B$11,FALSE)</f>
        <v>Ramesh</v>
      </c>
      <c r="P92" t="str">
        <f t="shared" si="1"/>
        <v>Normal_Sales</v>
      </c>
      <c r="Q92" t="str">
        <f>IF(Orders!G84&gt;=500,"Premium","Regular")</f>
        <v>Premium</v>
      </c>
    </row>
    <row r="93" spans="1:17" x14ac:dyDescent="0.25">
      <c r="A93" t="s">
        <v>227</v>
      </c>
      <c r="B93">
        <v>1037</v>
      </c>
      <c r="C93" t="s">
        <v>98</v>
      </c>
      <c r="D93">
        <v>2</v>
      </c>
      <c r="E93">
        <v>240</v>
      </c>
      <c r="F93" t="s">
        <v>399</v>
      </c>
      <c r="G93">
        <v>2026</v>
      </c>
      <c r="M93" t="str">
        <f>_xlfn.XLOOKUP(C85,Menu_Items!$A$2:$A$21,Menu_Items!$B$2:$B$21,"Not Found")</f>
        <v>Tea</v>
      </c>
      <c r="N93" t="str">
        <f>_xlfn.XLOOKUP(Orders!D85,Branches!$A$2:$A$6,Branches!$B$2:$B$6,FALSE)</f>
        <v>Royal Dine</v>
      </c>
      <c r="O93" t="str">
        <f>_xlfn.XLOOKUP(Orders!E85,Waiters!$A$2:$A$11,Waiters!$B$2:$B$11,FALSE)</f>
        <v>Praveen</v>
      </c>
      <c r="P93" t="str">
        <f t="shared" si="1"/>
        <v>Normal_Sales</v>
      </c>
      <c r="Q93" t="str">
        <f>IF(Orders!G85&gt;=500,"Premium","Regular")</f>
        <v>Premium</v>
      </c>
    </row>
    <row r="94" spans="1:17" x14ac:dyDescent="0.25">
      <c r="A94" t="s">
        <v>228</v>
      </c>
      <c r="B94">
        <v>1038</v>
      </c>
      <c r="C94" t="s">
        <v>98</v>
      </c>
      <c r="D94">
        <v>1</v>
      </c>
      <c r="E94">
        <v>120</v>
      </c>
      <c r="F94" t="s">
        <v>136</v>
      </c>
      <c r="G94">
        <v>2026</v>
      </c>
      <c r="M94" t="str">
        <f>_xlfn.XLOOKUP(C86,Menu_Items!$A$2:$A$21,Menu_Items!$B$2:$B$21,"Not Found")</f>
        <v>Chicken 65</v>
      </c>
      <c r="N94" t="str">
        <f>_xlfn.XLOOKUP(Orders!D86,Branches!$A$2:$A$6,Branches!$B$2:$B$6,FALSE)</f>
        <v>Urban Kitchen</v>
      </c>
      <c r="O94" t="str">
        <f>_xlfn.XLOOKUP(Orders!E86,Waiters!$A$2:$A$11,Waiters!$B$2:$B$11,FALSE)</f>
        <v>Suresh</v>
      </c>
      <c r="P94" t="str">
        <f t="shared" si="1"/>
        <v>Normal_Sales</v>
      </c>
      <c r="Q94" t="str">
        <f>IF(Orders!G86&gt;=500,"Premium","Regular")</f>
        <v>Premium</v>
      </c>
    </row>
    <row r="95" spans="1:17" x14ac:dyDescent="0.25">
      <c r="A95" t="s">
        <v>229</v>
      </c>
      <c r="B95">
        <v>1038</v>
      </c>
      <c r="C95" t="s">
        <v>100</v>
      </c>
      <c r="D95">
        <v>2</v>
      </c>
      <c r="E95">
        <v>300</v>
      </c>
      <c r="F95" t="s">
        <v>136</v>
      </c>
      <c r="G95">
        <v>2026</v>
      </c>
      <c r="M95" t="str">
        <f>_xlfn.XLOOKUP(C87,Menu_Items!$A$2:$A$21,Menu_Items!$B$2:$B$21,"Not Found")</f>
        <v>Tea</v>
      </c>
      <c r="N95" t="str">
        <f>_xlfn.XLOOKUP(Orders!D87,Branches!$A$2:$A$6,Branches!$B$2:$B$6,FALSE)</f>
        <v>Paradise Restaurant</v>
      </c>
      <c r="O95" t="str">
        <f>_xlfn.XLOOKUP(Orders!E87,Waiters!$A$2:$A$11,Waiters!$B$2:$B$11,FALSE)</f>
        <v>Naveen</v>
      </c>
      <c r="P95" t="str">
        <f t="shared" si="1"/>
        <v>Normal_Sales</v>
      </c>
      <c r="Q95" t="str">
        <f>IF(Orders!G87&gt;=500,"Premium","Regular")</f>
        <v>Premium</v>
      </c>
    </row>
    <row r="96" spans="1:17" x14ac:dyDescent="0.25">
      <c r="A96" t="s">
        <v>230</v>
      </c>
      <c r="B96">
        <v>1038</v>
      </c>
      <c r="C96" t="s">
        <v>102</v>
      </c>
      <c r="D96">
        <v>3</v>
      </c>
      <c r="E96">
        <v>780</v>
      </c>
      <c r="F96" t="s">
        <v>136</v>
      </c>
      <c r="G96">
        <v>2026</v>
      </c>
      <c r="M96" t="str">
        <f>_xlfn.XLOOKUP(C88,Menu_Items!$A$2:$A$21,Menu_Items!$B$2:$B$21,"Not Found")</f>
        <v>Chicken 65</v>
      </c>
      <c r="N96" t="str">
        <f>_xlfn.XLOOKUP(Orders!D88,Branches!$A$2:$A$6,Branches!$B$2:$B$6,FALSE)</f>
        <v>Spice Hub</v>
      </c>
      <c r="O96" t="str">
        <f>_xlfn.XLOOKUP(Orders!E88,Waiters!$A$2:$A$11,Waiters!$B$2:$B$11,FALSE)</f>
        <v>Ajay</v>
      </c>
      <c r="P96" t="str">
        <f t="shared" si="1"/>
        <v>Normal_Sales</v>
      </c>
      <c r="Q96" t="str">
        <f>IF(Orders!G88&gt;=500,"Premium","Regular")</f>
        <v>Premium</v>
      </c>
    </row>
    <row r="97" spans="1:17" x14ac:dyDescent="0.25">
      <c r="A97" t="s">
        <v>231</v>
      </c>
      <c r="B97">
        <v>1039</v>
      </c>
      <c r="C97" t="s">
        <v>100</v>
      </c>
      <c r="D97">
        <v>1</v>
      </c>
      <c r="E97">
        <v>150</v>
      </c>
      <c r="F97" t="s">
        <v>136</v>
      </c>
      <c r="G97">
        <v>2026</v>
      </c>
      <c r="M97" t="str">
        <f>_xlfn.XLOOKUP(C89,Menu_Items!$A$2:$A$21,Menu_Items!$B$2:$B$21,"Not Found")</f>
        <v>Chicken 65</v>
      </c>
      <c r="N97" t="str">
        <f>_xlfn.XLOOKUP(Orders!D89,Branches!$A$2:$A$6,Branches!$B$2:$B$6,FALSE)</f>
        <v>Food Fiesta</v>
      </c>
      <c r="O97" t="str">
        <f>_xlfn.XLOOKUP(Orders!E89,Waiters!$A$2:$A$11,Waiters!$B$2:$B$11,FALSE)</f>
        <v>Vinod</v>
      </c>
      <c r="P97" t="str">
        <f t="shared" si="1"/>
        <v>Normal_Sales</v>
      </c>
      <c r="Q97" t="str">
        <f>IF(Orders!G89&gt;=500,"Premium","Regular")</f>
        <v>Premium</v>
      </c>
    </row>
    <row r="98" spans="1:17" x14ac:dyDescent="0.25">
      <c r="A98" t="s">
        <v>232</v>
      </c>
      <c r="B98">
        <v>1039</v>
      </c>
      <c r="C98" t="s">
        <v>102</v>
      </c>
      <c r="D98">
        <v>2</v>
      </c>
      <c r="E98">
        <v>520</v>
      </c>
      <c r="F98" t="s">
        <v>136</v>
      </c>
      <c r="G98">
        <v>2026</v>
      </c>
      <c r="M98" t="str">
        <f>_xlfn.XLOOKUP(C90,Menu_Items!$A$2:$A$21,Menu_Items!$B$2:$B$21,"Not Found")</f>
        <v>Paneer Tikka</v>
      </c>
      <c r="N98" t="str">
        <f>_xlfn.XLOOKUP(Orders!D90,Branches!$A$2:$A$6,Branches!$B$2:$B$6,FALSE)</f>
        <v>Royal Dine</v>
      </c>
      <c r="O98" t="str">
        <f>_xlfn.XLOOKUP(Orders!E90,Waiters!$A$2:$A$11,Waiters!$B$2:$B$11,FALSE)</f>
        <v>Arjun</v>
      </c>
      <c r="P98" t="str">
        <f t="shared" si="1"/>
        <v>Normal_Sales</v>
      </c>
      <c r="Q98" t="str">
        <f>IF(Orders!G90&gt;=500,"Premium","Regular")</f>
        <v>Premium</v>
      </c>
    </row>
    <row r="99" spans="1:17" x14ac:dyDescent="0.25">
      <c r="A99" t="s">
        <v>233</v>
      </c>
      <c r="B99">
        <v>1040</v>
      </c>
      <c r="C99" t="s">
        <v>102</v>
      </c>
      <c r="D99">
        <v>1</v>
      </c>
      <c r="E99">
        <v>260</v>
      </c>
      <c r="F99" t="s">
        <v>136</v>
      </c>
      <c r="G99">
        <v>2026</v>
      </c>
      <c r="M99" t="str">
        <f>_xlfn.XLOOKUP(C91,Menu_Items!$A$2:$A$21,Menu_Items!$B$2:$B$21,"Not Found")</f>
        <v>Soup</v>
      </c>
      <c r="N99" t="str">
        <f>_xlfn.XLOOKUP(Orders!D91,Branches!$A$2:$A$6,Branches!$B$2:$B$6,FALSE)</f>
        <v>Urban Kitchen</v>
      </c>
      <c r="O99" t="str">
        <f>_xlfn.XLOOKUP(Orders!E91,Waiters!$A$2:$A$11,Waiters!$B$2:$B$11,FALSE)</f>
        <v>Teja</v>
      </c>
      <c r="P99" t="str">
        <f t="shared" si="1"/>
        <v>Normal_Sales</v>
      </c>
      <c r="Q99" t="str">
        <f>IF(Orders!G91&gt;=500,"Premium","Regular")</f>
        <v>Premium</v>
      </c>
    </row>
    <row r="100" spans="1:17" x14ac:dyDescent="0.25">
      <c r="A100" t="s">
        <v>234</v>
      </c>
      <c r="B100">
        <v>1040</v>
      </c>
      <c r="C100" t="s">
        <v>58</v>
      </c>
      <c r="D100">
        <v>2</v>
      </c>
      <c r="E100">
        <v>500</v>
      </c>
      <c r="F100" t="s">
        <v>136</v>
      </c>
      <c r="G100">
        <v>2026</v>
      </c>
      <c r="M100" t="str">
        <f>_xlfn.XLOOKUP(C92,Menu_Items!$A$2:$A$21,Menu_Items!$B$2:$B$21,"Not Found")</f>
        <v>Paneer Tikka</v>
      </c>
      <c r="N100" t="str">
        <f>_xlfn.XLOOKUP(Orders!D92,Branches!$A$2:$A$6,Branches!$B$2:$B$6,FALSE)</f>
        <v>Paradise Restaurant</v>
      </c>
      <c r="O100" t="str">
        <f>_xlfn.XLOOKUP(Orders!E92,Waiters!$A$2:$A$11,Waiters!$B$2:$B$11,FALSE)</f>
        <v>Mahesh</v>
      </c>
      <c r="P100" t="str">
        <f t="shared" si="1"/>
        <v>Normal_Sales</v>
      </c>
      <c r="Q100" t="str">
        <f>IF(Orders!G92&gt;=500,"Premium","Regular")</f>
        <v>Regular</v>
      </c>
    </row>
    <row r="101" spans="1:17" x14ac:dyDescent="0.25">
      <c r="A101" t="s">
        <v>235</v>
      </c>
      <c r="B101">
        <v>1040</v>
      </c>
      <c r="C101" t="s">
        <v>61</v>
      </c>
      <c r="D101">
        <v>3</v>
      </c>
      <c r="E101">
        <v>1050</v>
      </c>
      <c r="F101" t="s">
        <v>136</v>
      </c>
      <c r="G101">
        <v>2026</v>
      </c>
      <c r="M101" t="str">
        <f>_xlfn.XLOOKUP(C93,Menu_Items!$A$2:$A$21,Menu_Items!$B$2:$B$21,"Not Found")</f>
        <v>Soup</v>
      </c>
      <c r="N101" t="str">
        <f>_xlfn.XLOOKUP(Orders!D93,Branches!$A$2:$A$6,Branches!$B$2:$B$6,FALSE)</f>
        <v>Spice Hub</v>
      </c>
      <c r="O101" t="str">
        <f>_xlfn.XLOOKUP(Orders!E93,Waiters!$A$2:$A$11,Waiters!$B$2:$B$11,FALSE)</f>
        <v>Kiran</v>
      </c>
      <c r="P101" t="str">
        <f t="shared" si="1"/>
        <v>Normal_Sales</v>
      </c>
      <c r="Q101" t="str">
        <f>IF(Orders!G93&gt;=500,"Premium","Regular")</f>
        <v>Premium</v>
      </c>
    </row>
    <row r="102" spans="1:17" x14ac:dyDescent="0.25">
      <c r="A102" t="s">
        <v>236</v>
      </c>
      <c r="B102">
        <v>1041</v>
      </c>
      <c r="C102" t="s">
        <v>58</v>
      </c>
      <c r="D102">
        <v>1</v>
      </c>
      <c r="E102">
        <v>250</v>
      </c>
      <c r="F102" t="s">
        <v>136</v>
      </c>
      <c r="G102">
        <v>2026</v>
      </c>
      <c r="M102" t="str">
        <f>_xlfn.XLOOKUP(C94,Menu_Items!$A$2:$A$21,Menu_Items!$B$2:$B$21,"Not Found")</f>
        <v>Soup</v>
      </c>
      <c r="N102" t="str">
        <f>_xlfn.XLOOKUP(Orders!D94,Branches!$A$2:$A$6,Branches!$B$2:$B$6,FALSE)</f>
        <v>Food Fiesta</v>
      </c>
      <c r="O102" t="str">
        <f>_xlfn.XLOOKUP(Orders!E94,Waiters!$A$2:$A$11,Waiters!$B$2:$B$11,FALSE)</f>
        <v>Ramesh</v>
      </c>
      <c r="P102" t="str">
        <f t="shared" si="1"/>
        <v>Normal_Sales</v>
      </c>
      <c r="Q102" t="str">
        <f>IF(Orders!G94&gt;=500,"Premium","Regular")</f>
        <v>Premium</v>
      </c>
    </row>
    <row r="103" spans="1:17" x14ac:dyDescent="0.25">
      <c r="A103" t="s">
        <v>237</v>
      </c>
      <c r="B103">
        <v>1041</v>
      </c>
      <c r="C103" t="s">
        <v>61</v>
      </c>
      <c r="D103">
        <v>2</v>
      </c>
      <c r="E103">
        <v>700</v>
      </c>
      <c r="F103" t="s">
        <v>136</v>
      </c>
      <c r="G103">
        <v>2026</v>
      </c>
      <c r="M103" t="str">
        <f>_xlfn.XLOOKUP(C95,Menu_Items!$A$2:$A$21,Menu_Items!$B$2:$B$21,"Not Found")</f>
        <v>Sandwich</v>
      </c>
      <c r="N103" t="str">
        <f>_xlfn.XLOOKUP(Orders!D95,Branches!$A$2:$A$6,Branches!$B$2:$B$6,FALSE)</f>
        <v>Royal Dine</v>
      </c>
      <c r="O103" t="str">
        <f>_xlfn.XLOOKUP(Orders!E95,Waiters!$A$2:$A$11,Waiters!$B$2:$B$11,FALSE)</f>
        <v>Praveen</v>
      </c>
      <c r="P103" t="str">
        <f t="shared" si="1"/>
        <v>Normal_Sales</v>
      </c>
      <c r="Q103" t="str">
        <f>IF(Orders!G95&gt;=500,"Premium","Regular")</f>
        <v>Premium</v>
      </c>
    </row>
    <row r="104" spans="1:17" x14ac:dyDescent="0.25">
      <c r="A104" t="s">
        <v>238</v>
      </c>
      <c r="B104">
        <v>1042</v>
      </c>
      <c r="C104" t="s">
        <v>61</v>
      </c>
      <c r="D104">
        <v>1</v>
      </c>
      <c r="E104">
        <v>350</v>
      </c>
      <c r="F104" t="s">
        <v>136</v>
      </c>
      <c r="G104">
        <v>2026</v>
      </c>
      <c r="M104" t="str">
        <f>_xlfn.XLOOKUP(C96,Menu_Items!$A$2:$A$21,Menu_Items!$B$2:$B$21,"Not Found")</f>
        <v>Pasta</v>
      </c>
      <c r="N104" t="str">
        <f>_xlfn.XLOOKUP(Orders!D96,Branches!$A$2:$A$6,Branches!$B$2:$B$6,FALSE)</f>
        <v>Urban Kitchen</v>
      </c>
      <c r="O104" t="str">
        <f>_xlfn.XLOOKUP(Orders!E96,Waiters!$A$2:$A$11,Waiters!$B$2:$B$11,FALSE)</f>
        <v>Suresh</v>
      </c>
      <c r="P104" t="str">
        <f t="shared" si="1"/>
        <v>Normal_Sales</v>
      </c>
      <c r="Q104" t="str">
        <f>IF(Orders!G96&gt;=500,"Premium","Regular")</f>
        <v>Premium</v>
      </c>
    </row>
    <row r="105" spans="1:17" x14ac:dyDescent="0.25">
      <c r="A105" t="s">
        <v>239</v>
      </c>
      <c r="B105">
        <v>1042</v>
      </c>
      <c r="C105" t="s">
        <v>63</v>
      </c>
      <c r="D105">
        <v>2</v>
      </c>
      <c r="E105">
        <v>560</v>
      </c>
      <c r="F105" t="s">
        <v>136</v>
      </c>
      <c r="G105">
        <v>2026</v>
      </c>
      <c r="M105" t="str">
        <f>_xlfn.XLOOKUP(C97,Menu_Items!$A$2:$A$21,Menu_Items!$B$2:$B$21,"Not Found")</f>
        <v>Sandwich</v>
      </c>
      <c r="N105" t="str">
        <f>_xlfn.XLOOKUP(Orders!D97,Branches!$A$2:$A$6,Branches!$B$2:$B$6,FALSE)</f>
        <v>Paradise Restaurant</v>
      </c>
      <c r="O105" t="str">
        <f>_xlfn.XLOOKUP(Orders!E97,Waiters!$A$2:$A$11,Waiters!$B$2:$B$11,FALSE)</f>
        <v>Naveen</v>
      </c>
      <c r="P105" t="str">
        <f t="shared" si="1"/>
        <v>Normal_Sales</v>
      </c>
      <c r="Q105" t="str">
        <f>IF(Orders!G97&gt;=500,"Premium","Regular")</f>
        <v>Premium</v>
      </c>
    </row>
    <row r="106" spans="1:17" x14ac:dyDescent="0.25">
      <c r="A106" t="s">
        <v>240</v>
      </c>
      <c r="B106">
        <v>1042</v>
      </c>
      <c r="C106" t="s">
        <v>65</v>
      </c>
      <c r="D106">
        <v>3</v>
      </c>
      <c r="E106">
        <v>1350</v>
      </c>
      <c r="F106" t="s">
        <v>136</v>
      </c>
      <c r="G106">
        <v>2026</v>
      </c>
      <c r="M106" t="str">
        <f>_xlfn.XLOOKUP(C98,Menu_Items!$A$2:$A$21,Menu_Items!$B$2:$B$21,"Not Found")</f>
        <v>Pasta</v>
      </c>
      <c r="N106" t="str">
        <f>_xlfn.XLOOKUP(Orders!D98,Branches!$A$2:$A$6,Branches!$B$2:$B$6,FALSE)</f>
        <v>Spice Hub</v>
      </c>
      <c r="O106" t="str">
        <f>_xlfn.XLOOKUP(Orders!E98,Waiters!$A$2:$A$11,Waiters!$B$2:$B$11,FALSE)</f>
        <v>Ajay</v>
      </c>
      <c r="P106" t="str">
        <f t="shared" si="1"/>
        <v>Normal_Sales</v>
      </c>
      <c r="Q106" t="str">
        <f>IF(Orders!G98&gt;=500,"Premium","Regular")</f>
        <v>Premium</v>
      </c>
    </row>
    <row r="107" spans="1:17" x14ac:dyDescent="0.25">
      <c r="A107" t="s">
        <v>241</v>
      </c>
      <c r="B107">
        <v>1043</v>
      </c>
      <c r="C107" t="s">
        <v>63</v>
      </c>
      <c r="D107">
        <v>1</v>
      </c>
      <c r="E107">
        <v>280</v>
      </c>
      <c r="F107" t="s">
        <v>136</v>
      </c>
      <c r="G107">
        <v>2026</v>
      </c>
      <c r="M107" t="str">
        <f>_xlfn.XLOOKUP(C99,Menu_Items!$A$2:$A$21,Menu_Items!$B$2:$B$21,"Not Found")</f>
        <v>Pasta</v>
      </c>
      <c r="N107" t="str">
        <f>_xlfn.XLOOKUP(Orders!D99,Branches!$A$2:$A$6,Branches!$B$2:$B$6,FALSE)</f>
        <v>Food Fiesta</v>
      </c>
      <c r="O107" t="str">
        <f>_xlfn.XLOOKUP(Orders!E99,Waiters!$A$2:$A$11,Waiters!$B$2:$B$11,FALSE)</f>
        <v>Vinod</v>
      </c>
      <c r="P107" t="str">
        <f t="shared" si="1"/>
        <v>Normal_Sales</v>
      </c>
      <c r="Q107" t="str">
        <f>IF(Orders!G99&gt;=500,"Premium","Regular")</f>
        <v>Premium</v>
      </c>
    </row>
    <row r="108" spans="1:17" x14ac:dyDescent="0.25">
      <c r="A108" t="s">
        <v>242</v>
      </c>
      <c r="B108">
        <v>1043</v>
      </c>
      <c r="C108" t="s">
        <v>65</v>
      </c>
      <c r="D108">
        <v>2</v>
      </c>
      <c r="E108">
        <v>900</v>
      </c>
      <c r="F108" t="s">
        <v>136</v>
      </c>
      <c r="G108">
        <v>2026</v>
      </c>
      <c r="M108" t="str">
        <f>_xlfn.XLOOKUP(C100,Menu_Items!$A$2:$A$21,Menu_Items!$B$2:$B$21,"Not Found")</f>
        <v>Veg Biryani</v>
      </c>
      <c r="N108" t="str">
        <f>_xlfn.XLOOKUP(Orders!D100,Branches!$A$2:$A$6,Branches!$B$2:$B$6,FALSE)</f>
        <v>Royal Dine</v>
      </c>
      <c r="O108" t="str">
        <f>_xlfn.XLOOKUP(Orders!E100,Waiters!$A$2:$A$11,Waiters!$B$2:$B$11,FALSE)</f>
        <v>Arjun</v>
      </c>
      <c r="P108" t="str">
        <f t="shared" si="1"/>
        <v>Normal_Sales</v>
      </c>
      <c r="Q108" t="str">
        <f>IF(Orders!G100&gt;=500,"Premium","Regular")</f>
        <v>Premium</v>
      </c>
    </row>
    <row r="109" spans="1:17" x14ac:dyDescent="0.25">
      <c r="A109" t="s">
        <v>243</v>
      </c>
      <c r="B109">
        <v>1044</v>
      </c>
      <c r="C109" t="s">
        <v>65</v>
      </c>
      <c r="D109">
        <v>1</v>
      </c>
      <c r="E109">
        <v>450</v>
      </c>
      <c r="F109" t="s">
        <v>136</v>
      </c>
      <c r="G109">
        <v>2026</v>
      </c>
      <c r="M109" t="str">
        <f>_xlfn.XLOOKUP(C101,Menu_Items!$A$2:$A$21,Menu_Items!$B$2:$B$21,"Not Found")</f>
        <v>Chicken Biryani</v>
      </c>
      <c r="N109" t="str">
        <f>_xlfn.XLOOKUP(Orders!D101,Branches!$A$2:$A$6,Branches!$B$2:$B$6,FALSE)</f>
        <v>Urban Kitchen</v>
      </c>
      <c r="O109" t="str">
        <f>_xlfn.XLOOKUP(Orders!E101,Waiters!$A$2:$A$11,Waiters!$B$2:$B$11,FALSE)</f>
        <v>Teja</v>
      </c>
      <c r="P109" t="str">
        <f t="shared" si="1"/>
        <v>High_Sales</v>
      </c>
      <c r="Q109" t="str">
        <f>IF(Orders!G101&gt;=500,"Premium","Regular")</f>
        <v>Premium</v>
      </c>
    </row>
    <row r="110" spans="1:17" x14ac:dyDescent="0.25">
      <c r="A110" t="s">
        <v>244</v>
      </c>
      <c r="B110">
        <v>1044</v>
      </c>
      <c r="C110" t="s">
        <v>68</v>
      </c>
      <c r="D110">
        <v>2</v>
      </c>
      <c r="E110">
        <v>360</v>
      </c>
      <c r="F110" t="s">
        <v>136</v>
      </c>
      <c r="G110">
        <v>2026</v>
      </c>
      <c r="M110" t="str">
        <f>_xlfn.XLOOKUP(C102,Menu_Items!$A$2:$A$21,Menu_Items!$B$2:$B$21,"Not Found")</f>
        <v>Veg Biryani</v>
      </c>
      <c r="N110" t="b">
        <f>_xlfn.XLOOKUP(Orders!D102,Branches!$A$2:$A$6,Branches!$B$2:$B$6,FALSE)</f>
        <v>0</v>
      </c>
      <c r="O110" t="b">
        <f>_xlfn.XLOOKUP(Orders!E102,Waiters!$A$2:$A$11,Waiters!$B$2:$B$11,FALSE)</f>
        <v>0</v>
      </c>
      <c r="P110" t="str">
        <f t="shared" si="1"/>
        <v>Normal_Sales</v>
      </c>
      <c r="Q110" t="str">
        <f>IF(Orders!G102&gt;=500,"Premium","Regular")</f>
        <v>Regular</v>
      </c>
    </row>
    <row r="111" spans="1:17" x14ac:dyDescent="0.25">
      <c r="A111" t="s">
        <v>245</v>
      </c>
      <c r="B111">
        <v>1044</v>
      </c>
      <c r="C111" t="s">
        <v>70</v>
      </c>
      <c r="D111">
        <v>3</v>
      </c>
      <c r="E111">
        <v>360</v>
      </c>
      <c r="F111" t="s">
        <v>136</v>
      </c>
      <c r="G111">
        <v>2026</v>
      </c>
      <c r="M111" t="str">
        <f>_xlfn.XLOOKUP(C103,Menu_Items!$A$2:$A$21,Menu_Items!$B$2:$B$21,"Not Found")</f>
        <v>Chicken Biryani</v>
      </c>
      <c r="N111" t="b">
        <f>_xlfn.XLOOKUP(Orders!D103,Branches!$A$2:$A$6,Branches!$B$2:$B$6,FALSE)</f>
        <v>0</v>
      </c>
      <c r="O111" t="b">
        <f>_xlfn.XLOOKUP(Orders!E103,Waiters!$A$2:$A$11,Waiters!$B$2:$B$11,FALSE)</f>
        <v>0</v>
      </c>
      <c r="P111" t="str">
        <f t="shared" si="1"/>
        <v>Normal_Sales</v>
      </c>
      <c r="Q111" t="str">
        <f>IF(Orders!G103&gt;=500,"Premium","Regular")</f>
        <v>Regular</v>
      </c>
    </row>
    <row r="112" spans="1:17" x14ac:dyDescent="0.25">
      <c r="A112" t="s">
        <v>246</v>
      </c>
      <c r="B112">
        <v>1045</v>
      </c>
      <c r="C112" t="s">
        <v>68</v>
      </c>
      <c r="D112">
        <v>1</v>
      </c>
      <c r="E112">
        <v>180</v>
      </c>
      <c r="F112" t="s">
        <v>136</v>
      </c>
      <c r="G112">
        <v>2026</v>
      </c>
      <c r="M112" t="str">
        <f>_xlfn.XLOOKUP(C104,Menu_Items!$A$2:$A$21,Menu_Items!$B$2:$B$21,"Not Found")</f>
        <v>Chicken Biryani</v>
      </c>
      <c r="N112" t="b">
        <f>_xlfn.XLOOKUP(Orders!D104,Branches!$A$2:$A$6,Branches!$B$2:$B$6,FALSE)</f>
        <v>0</v>
      </c>
      <c r="O112" t="b">
        <f>_xlfn.XLOOKUP(Orders!E104,Waiters!$A$2:$A$11,Waiters!$B$2:$B$11,FALSE)</f>
        <v>0</v>
      </c>
      <c r="P112" t="str">
        <f t="shared" si="1"/>
        <v>Normal_Sales</v>
      </c>
      <c r="Q112" t="str">
        <f>IF(Orders!G104&gt;=500,"Premium","Regular")</f>
        <v>Regular</v>
      </c>
    </row>
    <row r="113" spans="1:17" x14ac:dyDescent="0.25">
      <c r="A113" t="s">
        <v>247</v>
      </c>
      <c r="B113">
        <v>1045</v>
      </c>
      <c r="C113" t="s">
        <v>70</v>
      </c>
      <c r="D113">
        <v>2</v>
      </c>
      <c r="E113">
        <v>240</v>
      </c>
      <c r="F113" t="s">
        <v>136</v>
      </c>
      <c r="G113">
        <v>2026</v>
      </c>
      <c r="M113" t="str">
        <f>_xlfn.XLOOKUP(C105,Menu_Items!$A$2:$A$21,Menu_Items!$B$2:$B$21,"Not Found")</f>
        <v>Paneer Butter Masala</v>
      </c>
      <c r="P113" t="str">
        <f t="shared" si="1"/>
        <v>Normal_Sales</v>
      </c>
      <c r="Q113" t="str">
        <f>IF(Orders!G105&gt;=500,"Premium","Regular")</f>
        <v>Regular</v>
      </c>
    </row>
    <row r="114" spans="1:17" x14ac:dyDescent="0.25">
      <c r="A114" t="s">
        <v>248</v>
      </c>
      <c r="B114">
        <v>1046</v>
      </c>
      <c r="C114" t="s">
        <v>70</v>
      </c>
      <c r="D114">
        <v>1</v>
      </c>
      <c r="E114">
        <v>120</v>
      </c>
      <c r="F114" t="s">
        <v>136</v>
      </c>
      <c r="G114">
        <v>2026</v>
      </c>
      <c r="M114" t="str">
        <f>_xlfn.XLOOKUP(C106,Menu_Items!$A$2:$A$21,Menu_Items!$B$2:$B$21,"Not Found")</f>
        <v>Pizza</v>
      </c>
      <c r="P114" t="str">
        <f t="shared" si="1"/>
        <v>High_Sales</v>
      </c>
      <c r="Q114" t="str">
        <f>IF(Orders!G106&gt;=500,"Premium","Regular")</f>
        <v>Regular</v>
      </c>
    </row>
    <row r="115" spans="1:17" x14ac:dyDescent="0.25">
      <c r="A115" t="s">
        <v>249</v>
      </c>
      <c r="B115">
        <v>1046</v>
      </c>
      <c r="C115" t="s">
        <v>73</v>
      </c>
      <c r="D115">
        <v>2</v>
      </c>
      <c r="E115">
        <v>440</v>
      </c>
      <c r="F115" t="s">
        <v>136</v>
      </c>
      <c r="G115">
        <v>2026</v>
      </c>
      <c r="M115" t="str">
        <f>_xlfn.XLOOKUP(C107,Menu_Items!$A$2:$A$21,Menu_Items!$B$2:$B$21,"Not Found")</f>
        <v>Paneer Butter Masala</v>
      </c>
      <c r="P115" t="str">
        <f t="shared" si="1"/>
        <v>Normal_Sales</v>
      </c>
      <c r="Q115" t="str">
        <f>IF(Orders!G107&gt;=500,"Premium","Regular")</f>
        <v>Regular</v>
      </c>
    </row>
    <row r="116" spans="1:17" x14ac:dyDescent="0.25">
      <c r="A116" t="s">
        <v>250</v>
      </c>
      <c r="B116">
        <v>1046</v>
      </c>
      <c r="C116" t="s">
        <v>75</v>
      </c>
      <c r="D116">
        <v>3</v>
      </c>
      <c r="E116">
        <v>720</v>
      </c>
      <c r="F116" t="s">
        <v>399</v>
      </c>
      <c r="G116">
        <v>2026</v>
      </c>
      <c r="M116" t="str">
        <f>_xlfn.XLOOKUP(C108,Menu_Items!$A$2:$A$21,Menu_Items!$B$2:$B$21,"Not Found")</f>
        <v>Pizza</v>
      </c>
      <c r="P116" t="str">
        <f t="shared" si="1"/>
        <v>Normal_Sales</v>
      </c>
      <c r="Q116" t="str">
        <f>IF(Orders!G108&gt;=500,"Premium","Regular")</f>
        <v>Regular</v>
      </c>
    </row>
    <row r="117" spans="1:17" x14ac:dyDescent="0.25">
      <c r="A117" t="s">
        <v>251</v>
      </c>
      <c r="B117">
        <v>1047</v>
      </c>
      <c r="C117" t="s">
        <v>73</v>
      </c>
      <c r="D117">
        <v>1</v>
      </c>
      <c r="E117">
        <v>220</v>
      </c>
      <c r="F117" t="s">
        <v>136</v>
      </c>
      <c r="G117">
        <v>2026</v>
      </c>
      <c r="M117" t="str">
        <f>_xlfn.XLOOKUP(C109,Menu_Items!$A$2:$A$21,Menu_Items!$B$2:$B$21,"Not Found")</f>
        <v>Pizza</v>
      </c>
      <c r="P117" t="str">
        <f t="shared" si="1"/>
        <v>Normal_Sales</v>
      </c>
      <c r="Q117" t="str">
        <f>IF(Orders!G109&gt;=500,"Premium","Regular")</f>
        <v>Regular</v>
      </c>
    </row>
    <row r="118" spans="1:17" x14ac:dyDescent="0.25">
      <c r="A118" t="s">
        <v>252</v>
      </c>
      <c r="B118">
        <v>1047</v>
      </c>
      <c r="C118" t="s">
        <v>75</v>
      </c>
      <c r="D118">
        <v>2</v>
      </c>
      <c r="E118">
        <v>480</v>
      </c>
      <c r="F118" t="s">
        <v>136</v>
      </c>
      <c r="G118">
        <v>2026</v>
      </c>
      <c r="M118" t="str">
        <f>_xlfn.XLOOKUP(C110,Menu_Items!$A$2:$A$21,Menu_Items!$B$2:$B$21,"Not Found")</f>
        <v>Burger</v>
      </c>
      <c r="P118" t="str">
        <f t="shared" si="1"/>
        <v>Normal_Sales</v>
      </c>
      <c r="Q118" t="str">
        <f>IF(Orders!G110&gt;=500,"Premium","Regular")</f>
        <v>Regular</v>
      </c>
    </row>
    <row r="119" spans="1:17" x14ac:dyDescent="0.25">
      <c r="A119" t="s">
        <v>253</v>
      </c>
      <c r="B119">
        <v>1048</v>
      </c>
      <c r="C119" t="s">
        <v>75</v>
      </c>
      <c r="D119">
        <v>1</v>
      </c>
      <c r="E119">
        <v>240</v>
      </c>
      <c r="F119" t="s">
        <v>136</v>
      </c>
      <c r="G119">
        <v>2026</v>
      </c>
      <c r="M119" t="str">
        <f>_xlfn.XLOOKUP(C111,Menu_Items!$A$2:$A$21,Menu_Items!$B$2:$B$21,"Not Found")</f>
        <v>French Fries</v>
      </c>
      <c r="P119" t="str">
        <f t="shared" si="1"/>
        <v>Normal_Sales</v>
      </c>
      <c r="Q119" t="str">
        <f>IF(Orders!G111&gt;=500,"Premium","Regular")</f>
        <v>Regular</v>
      </c>
    </row>
    <row r="120" spans="1:17" x14ac:dyDescent="0.25">
      <c r="A120" t="s">
        <v>254</v>
      </c>
      <c r="B120">
        <v>1048</v>
      </c>
      <c r="C120" t="s">
        <v>77</v>
      </c>
      <c r="D120">
        <v>2</v>
      </c>
      <c r="E120">
        <v>300</v>
      </c>
      <c r="F120" t="s">
        <v>136</v>
      </c>
      <c r="G120">
        <v>2026</v>
      </c>
      <c r="M120" t="str">
        <f>_xlfn.XLOOKUP(C112,Menu_Items!$A$2:$A$21,Menu_Items!$B$2:$B$21,"Not Found")</f>
        <v>Burger</v>
      </c>
      <c r="P120" t="str">
        <f t="shared" si="1"/>
        <v>Normal_Sales</v>
      </c>
      <c r="Q120" t="str">
        <f>IF(Orders!G112&gt;=500,"Premium","Regular")</f>
        <v>Regular</v>
      </c>
    </row>
    <row r="121" spans="1:17" x14ac:dyDescent="0.25">
      <c r="A121" t="s">
        <v>255</v>
      </c>
      <c r="B121">
        <v>1048</v>
      </c>
      <c r="C121" t="s">
        <v>80</v>
      </c>
      <c r="D121">
        <v>3</v>
      </c>
      <c r="E121">
        <v>540</v>
      </c>
      <c r="F121" t="s">
        <v>136</v>
      </c>
      <c r="G121">
        <v>2026</v>
      </c>
      <c r="M121" t="str">
        <f>_xlfn.XLOOKUP(C113,Menu_Items!$A$2:$A$21,Menu_Items!$B$2:$B$21,"Not Found")</f>
        <v>French Fries</v>
      </c>
      <c r="P121" t="str">
        <f t="shared" si="1"/>
        <v>Normal_Sales</v>
      </c>
      <c r="Q121" t="str">
        <f>IF(Orders!G113&gt;=500,"Premium","Regular")</f>
        <v>Regular</v>
      </c>
    </row>
    <row r="122" spans="1:17" x14ac:dyDescent="0.25">
      <c r="A122" t="s">
        <v>256</v>
      </c>
      <c r="B122">
        <v>1049</v>
      </c>
      <c r="C122" t="s">
        <v>77</v>
      </c>
      <c r="D122">
        <v>1</v>
      </c>
      <c r="E122">
        <v>150</v>
      </c>
      <c r="F122" t="s">
        <v>136</v>
      </c>
      <c r="G122">
        <v>2026</v>
      </c>
      <c r="M122" t="str">
        <f>_xlfn.XLOOKUP(C114,Menu_Items!$A$2:$A$21,Menu_Items!$B$2:$B$21,"Not Found")</f>
        <v>French Fries</v>
      </c>
      <c r="P122" t="str">
        <f t="shared" si="1"/>
        <v>Normal_Sales</v>
      </c>
      <c r="Q122" t="str">
        <f>IF(Orders!G114&gt;=500,"Premium","Regular")</f>
        <v>Regular</v>
      </c>
    </row>
    <row r="123" spans="1:17" x14ac:dyDescent="0.25">
      <c r="A123" t="s">
        <v>257</v>
      </c>
      <c r="B123">
        <v>1049</v>
      </c>
      <c r="C123" t="s">
        <v>80</v>
      </c>
      <c r="D123">
        <v>2</v>
      </c>
      <c r="E123">
        <v>360</v>
      </c>
      <c r="F123" t="s">
        <v>136</v>
      </c>
      <c r="G123">
        <v>2026</v>
      </c>
      <c r="M123" t="str">
        <f>_xlfn.XLOOKUP(C115,Menu_Items!$A$2:$A$21,Menu_Items!$B$2:$B$21,"Not Found")</f>
        <v>Noodles</v>
      </c>
      <c r="P123" t="str">
        <f t="shared" si="1"/>
        <v>Normal_Sales</v>
      </c>
      <c r="Q123" t="str">
        <f>IF(Orders!G115&gt;=500,"Premium","Regular")</f>
        <v>Regular</v>
      </c>
    </row>
    <row r="124" spans="1:17" x14ac:dyDescent="0.25">
      <c r="A124" t="s">
        <v>258</v>
      </c>
      <c r="B124">
        <v>1050</v>
      </c>
      <c r="C124" t="s">
        <v>80</v>
      </c>
      <c r="D124">
        <v>1</v>
      </c>
      <c r="E124">
        <v>180</v>
      </c>
      <c r="F124" t="s">
        <v>136</v>
      </c>
      <c r="G124">
        <v>2026</v>
      </c>
      <c r="M124" t="str">
        <f>_xlfn.XLOOKUP(C116,Menu_Items!$A$2:$A$21,Menu_Items!$B$2:$B$21,"Not Found")</f>
        <v>Fried Rice</v>
      </c>
      <c r="P124" t="str">
        <f t="shared" si="1"/>
        <v>Normal_Sales</v>
      </c>
      <c r="Q124" t="str">
        <f>IF(Orders!G116&gt;=500,"Premium","Regular")</f>
        <v>Regular</v>
      </c>
    </row>
    <row r="125" spans="1:17" x14ac:dyDescent="0.25">
      <c r="A125" t="s">
        <v>259</v>
      </c>
      <c r="B125">
        <v>1050</v>
      </c>
      <c r="C125" t="s">
        <v>82</v>
      </c>
      <c r="D125">
        <v>2</v>
      </c>
      <c r="E125">
        <v>200</v>
      </c>
      <c r="F125" t="s">
        <v>136</v>
      </c>
      <c r="G125">
        <v>2026</v>
      </c>
      <c r="M125" t="str">
        <f>_xlfn.XLOOKUP(C117,Menu_Items!$A$2:$A$21,Menu_Items!$B$2:$B$21,"Not Found")</f>
        <v>Noodles</v>
      </c>
      <c r="P125" t="str">
        <f t="shared" si="1"/>
        <v>Normal_Sales</v>
      </c>
      <c r="Q125" t="str">
        <f>IF(Orders!G117&gt;=500,"Premium","Regular")</f>
        <v>Regular</v>
      </c>
    </row>
    <row r="126" spans="1:17" x14ac:dyDescent="0.25">
      <c r="A126" t="s">
        <v>260</v>
      </c>
      <c r="B126">
        <v>1050</v>
      </c>
      <c r="C126" t="s">
        <v>84</v>
      </c>
      <c r="D126">
        <v>3</v>
      </c>
      <c r="E126">
        <v>180</v>
      </c>
      <c r="F126" t="s">
        <v>136</v>
      </c>
      <c r="G126">
        <v>2026</v>
      </c>
      <c r="M126" t="str">
        <f>_xlfn.XLOOKUP(C118,Menu_Items!$A$2:$A$21,Menu_Items!$B$2:$B$21,"Not Found")</f>
        <v>Fried Rice</v>
      </c>
      <c r="P126" t="str">
        <f t="shared" si="1"/>
        <v>Normal_Sales</v>
      </c>
      <c r="Q126" t="str">
        <f>IF(Orders!G118&gt;=500,"Premium","Regular")</f>
        <v>Regular</v>
      </c>
    </row>
    <row r="127" spans="1:17" x14ac:dyDescent="0.25">
      <c r="A127" t="s">
        <v>261</v>
      </c>
      <c r="B127">
        <v>1051</v>
      </c>
      <c r="C127" t="s">
        <v>82</v>
      </c>
      <c r="D127">
        <v>1</v>
      </c>
      <c r="E127">
        <v>100</v>
      </c>
      <c r="F127" t="s">
        <v>136</v>
      </c>
      <c r="G127">
        <v>2026</v>
      </c>
      <c r="M127" t="str">
        <f>_xlfn.XLOOKUP(C119,Menu_Items!$A$2:$A$21,Menu_Items!$B$2:$B$21,"Not Found")</f>
        <v>Fried Rice</v>
      </c>
      <c r="P127" t="str">
        <f t="shared" si="1"/>
        <v>Normal_Sales</v>
      </c>
      <c r="Q127" t="str">
        <f>IF(Orders!G119&gt;=500,"Premium","Regular")</f>
        <v>Regular</v>
      </c>
    </row>
    <row r="128" spans="1:17" x14ac:dyDescent="0.25">
      <c r="A128" t="s">
        <v>262</v>
      </c>
      <c r="B128">
        <v>1051</v>
      </c>
      <c r="C128" t="s">
        <v>84</v>
      </c>
      <c r="D128">
        <v>2</v>
      </c>
      <c r="E128">
        <v>120</v>
      </c>
      <c r="F128" t="s">
        <v>136</v>
      </c>
      <c r="G128">
        <v>2026</v>
      </c>
      <c r="M128" t="str">
        <f>_xlfn.XLOOKUP(C120,Menu_Items!$A$2:$A$21,Menu_Items!$B$2:$B$21,"Not Found")</f>
        <v>Ice Cream</v>
      </c>
      <c r="P128" t="str">
        <f t="shared" si="1"/>
        <v>Normal_Sales</v>
      </c>
      <c r="Q128" t="str">
        <f>IF(Orders!G120&gt;=500,"Premium","Regular")</f>
        <v>Regular</v>
      </c>
    </row>
    <row r="129" spans="1:17" x14ac:dyDescent="0.25">
      <c r="A129" t="s">
        <v>263</v>
      </c>
      <c r="B129">
        <v>1052</v>
      </c>
      <c r="C129" t="s">
        <v>84</v>
      </c>
      <c r="D129">
        <v>1</v>
      </c>
      <c r="E129">
        <v>60</v>
      </c>
      <c r="F129" t="s">
        <v>136</v>
      </c>
      <c r="G129">
        <v>2026</v>
      </c>
      <c r="M129" t="str">
        <f>_xlfn.XLOOKUP(C121,Menu_Items!$A$2:$A$21,Menu_Items!$B$2:$B$21,"Not Found")</f>
        <v>Brownie</v>
      </c>
      <c r="P129" t="str">
        <f t="shared" si="1"/>
        <v>Normal_Sales</v>
      </c>
      <c r="Q129" t="str">
        <f>IF(Orders!G121&gt;=500,"Premium","Regular")</f>
        <v>Regular</v>
      </c>
    </row>
    <row r="130" spans="1:17" x14ac:dyDescent="0.25">
      <c r="A130" t="s">
        <v>264</v>
      </c>
      <c r="B130">
        <v>1052</v>
      </c>
      <c r="C130" t="s">
        <v>87</v>
      </c>
      <c r="D130">
        <v>2</v>
      </c>
      <c r="E130">
        <v>120</v>
      </c>
      <c r="F130" t="s">
        <v>136</v>
      </c>
      <c r="G130">
        <v>2026</v>
      </c>
      <c r="M130" t="str">
        <f>_xlfn.XLOOKUP(C122,Menu_Items!$A$2:$A$21,Menu_Items!$B$2:$B$21,"Not Found")</f>
        <v>Ice Cream</v>
      </c>
      <c r="P130" t="str">
        <f t="shared" si="1"/>
        <v>Normal_Sales</v>
      </c>
      <c r="Q130" t="str">
        <f>IF(Orders!G122&gt;=500,"Premium","Regular")</f>
        <v>Regular</v>
      </c>
    </row>
    <row r="131" spans="1:17" x14ac:dyDescent="0.25">
      <c r="A131" t="s">
        <v>265</v>
      </c>
      <c r="B131">
        <v>1052</v>
      </c>
      <c r="C131" t="s">
        <v>89</v>
      </c>
      <c r="D131">
        <v>3</v>
      </c>
      <c r="E131">
        <v>240</v>
      </c>
      <c r="F131" t="s">
        <v>136</v>
      </c>
      <c r="G131">
        <v>2026</v>
      </c>
      <c r="M131" t="str">
        <f>_xlfn.XLOOKUP(C123,Menu_Items!$A$2:$A$21,Menu_Items!$B$2:$B$21,"Not Found")</f>
        <v>Brownie</v>
      </c>
      <c r="P131" t="str">
        <f t="shared" si="1"/>
        <v>Normal_Sales</v>
      </c>
      <c r="Q131" t="str">
        <f>IF(Orders!G123&gt;=500,"Premium","Regular")</f>
        <v>Regular</v>
      </c>
    </row>
    <row r="132" spans="1:17" x14ac:dyDescent="0.25">
      <c r="A132" t="s">
        <v>266</v>
      </c>
      <c r="B132">
        <v>1053</v>
      </c>
      <c r="C132" t="s">
        <v>87</v>
      </c>
      <c r="D132">
        <v>1</v>
      </c>
      <c r="E132">
        <v>60</v>
      </c>
      <c r="F132" t="s">
        <v>136</v>
      </c>
      <c r="G132">
        <v>2026</v>
      </c>
      <c r="M132" t="str">
        <f>_xlfn.XLOOKUP(C124,Menu_Items!$A$2:$A$21,Menu_Items!$B$2:$B$21,"Not Found")</f>
        <v>Brownie</v>
      </c>
      <c r="P132" t="str">
        <f t="shared" si="1"/>
        <v>Normal_Sales</v>
      </c>
      <c r="Q132" t="str">
        <f>IF(Orders!G124&gt;=500,"Premium","Regular")</f>
        <v>Regular</v>
      </c>
    </row>
    <row r="133" spans="1:17" x14ac:dyDescent="0.25">
      <c r="A133" t="s">
        <v>267</v>
      </c>
      <c r="B133">
        <v>1053</v>
      </c>
      <c r="C133" t="s">
        <v>89</v>
      </c>
      <c r="D133">
        <v>2</v>
      </c>
      <c r="E133">
        <v>160</v>
      </c>
      <c r="F133" t="s">
        <v>136</v>
      </c>
      <c r="G133">
        <v>2026</v>
      </c>
      <c r="M133" t="str">
        <f>_xlfn.XLOOKUP(C125,Menu_Items!$A$2:$A$21,Menu_Items!$B$2:$B$21,"Not Found")</f>
        <v>Gulab Jamun</v>
      </c>
      <c r="P133" t="str">
        <f t="shared" si="1"/>
        <v>Normal_Sales</v>
      </c>
      <c r="Q133" t="str">
        <f>IF(Orders!G125&gt;=500,"Premium","Regular")</f>
        <v>Regular</v>
      </c>
    </row>
    <row r="134" spans="1:17" x14ac:dyDescent="0.25">
      <c r="A134" t="s">
        <v>268</v>
      </c>
      <c r="B134">
        <v>1054</v>
      </c>
      <c r="C134" t="s">
        <v>89</v>
      </c>
      <c r="D134">
        <v>1</v>
      </c>
      <c r="E134">
        <v>80</v>
      </c>
      <c r="F134" t="s">
        <v>136</v>
      </c>
      <c r="G134">
        <v>2026</v>
      </c>
      <c r="M134" t="str">
        <f>_xlfn.XLOOKUP(C126,Menu_Items!$A$2:$A$21,Menu_Items!$B$2:$B$21,"Not Found")</f>
        <v>Coke</v>
      </c>
      <c r="P134" t="str">
        <f t="shared" si="1"/>
        <v>Normal_Sales</v>
      </c>
      <c r="Q134" t="str">
        <f>IF(Orders!G126&gt;=500,"Premium","Regular")</f>
        <v>Regular</v>
      </c>
    </row>
    <row r="135" spans="1:17" x14ac:dyDescent="0.25">
      <c r="A135" t="s">
        <v>269</v>
      </c>
      <c r="B135">
        <v>1054</v>
      </c>
      <c r="C135" t="s">
        <v>91</v>
      </c>
      <c r="D135">
        <v>2</v>
      </c>
      <c r="E135">
        <v>80</v>
      </c>
      <c r="F135" t="s">
        <v>136</v>
      </c>
      <c r="G135">
        <v>2026</v>
      </c>
      <c r="M135" t="str">
        <f>_xlfn.XLOOKUP(C127,Menu_Items!$A$2:$A$21,Menu_Items!$B$2:$B$21,"Not Found")</f>
        <v>Gulab Jamun</v>
      </c>
      <c r="P135" t="str">
        <f t="shared" si="1"/>
        <v>Normal_Sales</v>
      </c>
      <c r="Q135" t="str">
        <f>IF(Orders!G127&gt;=500,"Premium","Regular")</f>
        <v>Regular</v>
      </c>
    </row>
    <row r="136" spans="1:17" x14ac:dyDescent="0.25">
      <c r="A136" t="s">
        <v>270</v>
      </c>
      <c r="B136">
        <v>1054</v>
      </c>
      <c r="C136" t="s">
        <v>93</v>
      </c>
      <c r="D136">
        <v>3</v>
      </c>
      <c r="E136">
        <v>900</v>
      </c>
      <c r="F136" t="s">
        <v>136</v>
      </c>
      <c r="G136">
        <v>2026</v>
      </c>
      <c r="M136" t="str">
        <f>_xlfn.XLOOKUP(C128,Menu_Items!$A$2:$A$21,Menu_Items!$B$2:$B$21,"Not Found")</f>
        <v>Coke</v>
      </c>
      <c r="P136" t="str">
        <f t="shared" si="1"/>
        <v>Normal_Sales</v>
      </c>
      <c r="Q136" t="str">
        <f>IF(Orders!G128&gt;=500,"Premium","Regular")</f>
        <v>Regular</v>
      </c>
    </row>
    <row r="137" spans="1:17" x14ac:dyDescent="0.25">
      <c r="A137" t="s">
        <v>271</v>
      </c>
      <c r="B137">
        <v>1055</v>
      </c>
      <c r="C137" t="s">
        <v>91</v>
      </c>
      <c r="D137">
        <v>1</v>
      </c>
      <c r="E137">
        <v>40</v>
      </c>
      <c r="F137" t="s">
        <v>136</v>
      </c>
      <c r="G137">
        <v>2026</v>
      </c>
      <c r="M137" t="str">
        <f>_xlfn.XLOOKUP(C129,Menu_Items!$A$2:$A$21,Menu_Items!$B$2:$B$21,"Not Found")</f>
        <v>Coke</v>
      </c>
      <c r="P137" t="str">
        <f t="shared" si="1"/>
        <v>Normal_Sales</v>
      </c>
      <c r="Q137" t="str">
        <f>IF(Orders!G129&gt;=500,"Premium","Regular")</f>
        <v>Regular</v>
      </c>
    </row>
    <row r="138" spans="1:17" x14ac:dyDescent="0.25">
      <c r="A138" t="s">
        <v>272</v>
      </c>
      <c r="B138">
        <v>1055</v>
      </c>
      <c r="C138" t="s">
        <v>93</v>
      </c>
      <c r="D138">
        <v>2</v>
      </c>
      <c r="E138">
        <v>600</v>
      </c>
      <c r="F138" t="s">
        <v>136</v>
      </c>
      <c r="G138">
        <v>2026</v>
      </c>
      <c r="M138" t="str">
        <f>_xlfn.XLOOKUP(C130,Menu_Items!$A$2:$A$21,Menu_Items!$B$2:$B$21,"Not Found")</f>
        <v>Pepsi</v>
      </c>
      <c r="P138" t="str">
        <f t="shared" ref="P138:P201" si="2">IF(E130&gt;=1000,"High_Sales","Normal_Sales")</f>
        <v>Normal_Sales</v>
      </c>
      <c r="Q138" t="str">
        <f>IF(Orders!G130&gt;=500,"Premium","Regular")</f>
        <v>Regular</v>
      </c>
    </row>
    <row r="139" spans="1:17" x14ac:dyDescent="0.25">
      <c r="A139" t="s">
        <v>273</v>
      </c>
      <c r="B139">
        <v>1056</v>
      </c>
      <c r="C139" t="s">
        <v>93</v>
      </c>
      <c r="D139">
        <v>1</v>
      </c>
      <c r="E139">
        <v>300</v>
      </c>
      <c r="F139" t="s">
        <v>136</v>
      </c>
      <c r="G139">
        <v>2026</v>
      </c>
      <c r="M139" t="str">
        <f>_xlfn.XLOOKUP(C131,Menu_Items!$A$2:$A$21,Menu_Items!$B$2:$B$21,"Not Found")</f>
        <v>Coffee</v>
      </c>
      <c r="P139" t="str">
        <f t="shared" si="2"/>
        <v>Normal_Sales</v>
      </c>
      <c r="Q139" t="str">
        <f>IF(Orders!G131&gt;=500,"Premium","Regular")</f>
        <v>Regular</v>
      </c>
    </row>
    <row r="140" spans="1:17" x14ac:dyDescent="0.25">
      <c r="A140" t="s">
        <v>274</v>
      </c>
      <c r="B140">
        <v>1056</v>
      </c>
      <c r="C140" t="s">
        <v>96</v>
      </c>
      <c r="D140">
        <v>2</v>
      </c>
      <c r="E140">
        <v>560</v>
      </c>
      <c r="F140" t="s">
        <v>136</v>
      </c>
      <c r="G140">
        <v>2026</v>
      </c>
      <c r="M140" t="str">
        <f>_xlfn.XLOOKUP(C132,Menu_Items!$A$2:$A$21,Menu_Items!$B$2:$B$21,"Not Found")</f>
        <v>Pepsi</v>
      </c>
      <c r="P140" t="str">
        <f t="shared" si="2"/>
        <v>Normal_Sales</v>
      </c>
      <c r="Q140" t="str">
        <f>IF(Orders!G132&gt;=500,"Premium","Regular")</f>
        <v>Regular</v>
      </c>
    </row>
    <row r="141" spans="1:17" x14ac:dyDescent="0.25">
      <c r="A141" t="s">
        <v>275</v>
      </c>
      <c r="B141">
        <v>1056</v>
      </c>
      <c r="C141" t="s">
        <v>98</v>
      </c>
      <c r="D141">
        <v>3</v>
      </c>
      <c r="E141">
        <v>360</v>
      </c>
      <c r="F141" t="s">
        <v>136</v>
      </c>
      <c r="G141">
        <v>2026</v>
      </c>
      <c r="M141" t="str">
        <f>_xlfn.XLOOKUP(C133,Menu_Items!$A$2:$A$21,Menu_Items!$B$2:$B$21,"Not Found")</f>
        <v>Coffee</v>
      </c>
      <c r="P141" t="str">
        <f t="shared" si="2"/>
        <v>Normal_Sales</v>
      </c>
      <c r="Q141" t="str">
        <f>IF(Orders!G133&gt;=500,"Premium","Regular")</f>
        <v>Regular</v>
      </c>
    </row>
    <row r="142" spans="1:17" x14ac:dyDescent="0.25">
      <c r="A142" t="s">
        <v>276</v>
      </c>
      <c r="B142">
        <v>1057</v>
      </c>
      <c r="C142" t="s">
        <v>96</v>
      </c>
      <c r="D142">
        <v>1</v>
      </c>
      <c r="E142">
        <v>280</v>
      </c>
      <c r="F142" t="s">
        <v>136</v>
      </c>
      <c r="G142">
        <v>2026</v>
      </c>
      <c r="M142" t="str">
        <f>_xlfn.XLOOKUP(C134,Menu_Items!$A$2:$A$21,Menu_Items!$B$2:$B$21,"Not Found")</f>
        <v>Coffee</v>
      </c>
      <c r="P142" t="str">
        <f t="shared" si="2"/>
        <v>Normal_Sales</v>
      </c>
      <c r="Q142" t="str">
        <f>IF(Orders!G134&gt;=500,"Premium","Regular")</f>
        <v>Regular</v>
      </c>
    </row>
    <row r="143" spans="1:17" x14ac:dyDescent="0.25">
      <c r="A143" t="s">
        <v>277</v>
      </c>
      <c r="B143">
        <v>1057</v>
      </c>
      <c r="C143" t="s">
        <v>98</v>
      </c>
      <c r="D143">
        <v>2</v>
      </c>
      <c r="E143">
        <v>240</v>
      </c>
      <c r="F143" t="s">
        <v>136</v>
      </c>
      <c r="G143">
        <v>2026</v>
      </c>
      <c r="M143" t="str">
        <f>_xlfn.XLOOKUP(C135,Menu_Items!$A$2:$A$21,Menu_Items!$B$2:$B$21,"Not Found")</f>
        <v>Tea</v>
      </c>
      <c r="P143" t="str">
        <f t="shared" si="2"/>
        <v>Normal_Sales</v>
      </c>
      <c r="Q143" t="str">
        <f>IF(Orders!G135&gt;=500,"Premium","Regular")</f>
        <v>Regular</v>
      </c>
    </row>
    <row r="144" spans="1:17" x14ac:dyDescent="0.25">
      <c r="A144" t="s">
        <v>278</v>
      </c>
      <c r="B144">
        <v>1058</v>
      </c>
      <c r="C144" t="s">
        <v>98</v>
      </c>
      <c r="D144">
        <v>1</v>
      </c>
      <c r="E144">
        <v>120</v>
      </c>
      <c r="F144" t="s">
        <v>136</v>
      </c>
      <c r="G144">
        <v>2026</v>
      </c>
      <c r="M144" t="str">
        <f>_xlfn.XLOOKUP(C136,Menu_Items!$A$2:$A$21,Menu_Items!$B$2:$B$21,"Not Found")</f>
        <v>Chicken 65</v>
      </c>
      <c r="P144" t="str">
        <f t="shared" si="2"/>
        <v>Normal_Sales</v>
      </c>
      <c r="Q144" t="str">
        <f>IF(Orders!G136&gt;=500,"Premium","Regular")</f>
        <v>Regular</v>
      </c>
    </row>
    <row r="145" spans="1:17" x14ac:dyDescent="0.25">
      <c r="A145" t="s">
        <v>279</v>
      </c>
      <c r="B145">
        <v>1058</v>
      </c>
      <c r="C145" t="s">
        <v>100</v>
      </c>
      <c r="D145">
        <v>2</v>
      </c>
      <c r="E145">
        <v>300</v>
      </c>
      <c r="F145" t="s">
        <v>136</v>
      </c>
      <c r="G145">
        <v>2026</v>
      </c>
      <c r="M145" t="str">
        <f>_xlfn.XLOOKUP(C137,Menu_Items!$A$2:$A$21,Menu_Items!$B$2:$B$21,"Not Found")</f>
        <v>Tea</v>
      </c>
      <c r="P145" t="str">
        <f t="shared" si="2"/>
        <v>Normal_Sales</v>
      </c>
      <c r="Q145" t="str">
        <f>IF(Orders!G137&gt;=500,"Premium","Regular")</f>
        <v>Regular</v>
      </c>
    </row>
    <row r="146" spans="1:17" x14ac:dyDescent="0.25">
      <c r="A146" t="s">
        <v>280</v>
      </c>
      <c r="B146">
        <v>1058</v>
      </c>
      <c r="C146" t="s">
        <v>102</v>
      </c>
      <c r="D146">
        <v>3</v>
      </c>
      <c r="E146">
        <v>780</v>
      </c>
      <c r="F146" t="s">
        <v>136</v>
      </c>
      <c r="G146">
        <v>2026</v>
      </c>
      <c r="M146" t="str">
        <f>_xlfn.XLOOKUP(C138,Menu_Items!$A$2:$A$21,Menu_Items!$B$2:$B$21,"Not Found")</f>
        <v>Chicken 65</v>
      </c>
      <c r="P146" t="str">
        <f t="shared" si="2"/>
        <v>Normal_Sales</v>
      </c>
      <c r="Q146" t="str">
        <f>IF(Orders!G138&gt;=500,"Premium","Regular")</f>
        <v>Regular</v>
      </c>
    </row>
    <row r="147" spans="1:17" x14ac:dyDescent="0.25">
      <c r="A147" t="s">
        <v>281</v>
      </c>
      <c r="B147">
        <v>1059</v>
      </c>
      <c r="C147" t="s">
        <v>100</v>
      </c>
      <c r="D147">
        <v>1</v>
      </c>
      <c r="E147">
        <v>150</v>
      </c>
      <c r="F147" t="s">
        <v>136</v>
      </c>
      <c r="G147">
        <v>2026</v>
      </c>
      <c r="M147" t="str">
        <f>_xlfn.XLOOKUP(C139,Menu_Items!$A$2:$A$21,Menu_Items!$B$2:$B$21,"Not Found")</f>
        <v>Chicken 65</v>
      </c>
      <c r="P147" t="str">
        <f t="shared" si="2"/>
        <v>Normal_Sales</v>
      </c>
      <c r="Q147" t="str">
        <f>IF(Orders!G139&gt;=500,"Premium","Regular")</f>
        <v>Regular</v>
      </c>
    </row>
    <row r="148" spans="1:17" x14ac:dyDescent="0.25">
      <c r="A148" t="s">
        <v>282</v>
      </c>
      <c r="B148">
        <v>1059</v>
      </c>
      <c r="C148" t="s">
        <v>102</v>
      </c>
      <c r="D148">
        <v>2</v>
      </c>
      <c r="E148">
        <v>520</v>
      </c>
      <c r="F148" t="s">
        <v>136</v>
      </c>
      <c r="G148">
        <v>2026</v>
      </c>
      <c r="M148" t="str">
        <f>_xlfn.XLOOKUP(C140,Menu_Items!$A$2:$A$21,Menu_Items!$B$2:$B$21,"Not Found")</f>
        <v>Paneer Tikka</v>
      </c>
      <c r="P148" t="str">
        <f t="shared" si="2"/>
        <v>Normal_Sales</v>
      </c>
      <c r="Q148" t="str">
        <f>IF(Orders!G140&gt;=500,"Premium","Regular")</f>
        <v>Regular</v>
      </c>
    </row>
    <row r="149" spans="1:17" x14ac:dyDescent="0.25">
      <c r="A149" t="s">
        <v>283</v>
      </c>
      <c r="B149">
        <v>1060</v>
      </c>
      <c r="C149" t="s">
        <v>102</v>
      </c>
      <c r="D149">
        <v>1</v>
      </c>
      <c r="E149">
        <v>260</v>
      </c>
      <c r="F149" t="s">
        <v>136</v>
      </c>
      <c r="G149">
        <v>2026</v>
      </c>
      <c r="M149" t="str">
        <f>_xlfn.XLOOKUP(C141,Menu_Items!$A$2:$A$21,Menu_Items!$B$2:$B$21,"Not Found")</f>
        <v>Soup</v>
      </c>
      <c r="P149" t="str">
        <f t="shared" si="2"/>
        <v>Normal_Sales</v>
      </c>
      <c r="Q149" t="str">
        <f>IF(Orders!G141&gt;=500,"Premium","Regular")</f>
        <v>Regular</v>
      </c>
    </row>
    <row r="150" spans="1:17" x14ac:dyDescent="0.25">
      <c r="A150" t="s">
        <v>284</v>
      </c>
      <c r="B150">
        <v>1060</v>
      </c>
      <c r="C150" t="s">
        <v>58</v>
      </c>
      <c r="D150">
        <v>2</v>
      </c>
      <c r="E150">
        <v>500</v>
      </c>
      <c r="F150" t="s">
        <v>136</v>
      </c>
      <c r="G150">
        <v>2026</v>
      </c>
      <c r="M150" t="str">
        <f>_xlfn.XLOOKUP(C142,Menu_Items!$A$2:$A$21,Menu_Items!$B$2:$B$21,"Not Found")</f>
        <v>Paneer Tikka</v>
      </c>
      <c r="P150" t="str">
        <f t="shared" si="2"/>
        <v>Normal_Sales</v>
      </c>
      <c r="Q150" t="str">
        <f>IF(Orders!G142&gt;=500,"Premium","Regular")</f>
        <v>Regular</v>
      </c>
    </row>
    <row r="151" spans="1:17" x14ac:dyDescent="0.25">
      <c r="A151" t="s">
        <v>285</v>
      </c>
      <c r="B151">
        <v>1060</v>
      </c>
      <c r="C151" t="s">
        <v>61</v>
      </c>
      <c r="D151">
        <v>3</v>
      </c>
      <c r="E151">
        <v>1050</v>
      </c>
      <c r="F151" t="s">
        <v>400</v>
      </c>
      <c r="G151">
        <v>2026</v>
      </c>
      <c r="M151" t="str">
        <f>_xlfn.XLOOKUP(C143,Menu_Items!$A$2:$A$21,Menu_Items!$B$2:$B$21,"Not Found")</f>
        <v>Soup</v>
      </c>
      <c r="P151" t="str">
        <f t="shared" si="2"/>
        <v>Normal_Sales</v>
      </c>
      <c r="Q151" t="str">
        <f>IF(Orders!G143&gt;=500,"Premium","Regular")</f>
        <v>Regular</v>
      </c>
    </row>
    <row r="152" spans="1:17" x14ac:dyDescent="0.25">
      <c r="A152" t="s">
        <v>286</v>
      </c>
      <c r="B152">
        <v>1061</v>
      </c>
      <c r="C152" t="s">
        <v>58</v>
      </c>
      <c r="D152">
        <v>1</v>
      </c>
      <c r="E152">
        <v>250</v>
      </c>
      <c r="F152" t="s">
        <v>136</v>
      </c>
      <c r="G152">
        <v>2026</v>
      </c>
      <c r="M152" t="str">
        <f>_xlfn.XLOOKUP(C144,Menu_Items!$A$2:$A$21,Menu_Items!$B$2:$B$21,"Not Found")</f>
        <v>Soup</v>
      </c>
      <c r="P152" t="str">
        <f t="shared" si="2"/>
        <v>Normal_Sales</v>
      </c>
      <c r="Q152" t="str">
        <f>IF(Orders!G144&gt;=500,"Premium","Regular")</f>
        <v>Regular</v>
      </c>
    </row>
    <row r="153" spans="1:17" x14ac:dyDescent="0.25">
      <c r="A153" t="s">
        <v>287</v>
      </c>
      <c r="B153">
        <v>1061</v>
      </c>
      <c r="C153" t="s">
        <v>61</v>
      </c>
      <c r="D153">
        <v>2</v>
      </c>
      <c r="E153">
        <v>700</v>
      </c>
      <c r="F153" t="s">
        <v>136</v>
      </c>
      <c r="G153">
        <v>2026</v>
      </c>
      <c r="M153" t="str">
        <f>_xlfn.XLOOKUP(C145,Menu_Items!$A$2:$A$21,Menu_Items!$B$2:$B$21,"Not Found")</f>
        <v>Sandwich</v>
      </c>
      <c r="P153" t="str">
        <f t="shared" si="2"/>
        <v>Normal_Sales</v>
      </c>
      <c r="Q153" t="str">
        <f>IF(Orders!G145&gt;=500,"Premium","Regular")</f>
        <v>Regular</v>
      </c>
    </row>
    <row r="154" spans="1:17" x14ac:dyDescent="0.25">
      <c r="A154" t="s">
        <v>288</v>
      </c>
      <c r="B154">
        <v>1062</v>
      </c>
      <c r="C154" t="s">
        <v>61</v>
      </c>
      <c r="D154">
        <v>1</v>
      </c>
      <c r="E154">
        <v>350</v>
      </c>
      <c r="F154" t="s">
        <v>136</v>
      </c>
      <c r="G154">
        <v>2026</v>
      </c>
      <c r="M154" t="str">
        <f>_xlfn.XLOOKUP(C146,Menu_Items!$A$2:$A$21,Menu_Items!$B$2:$B$21,"Not Found")</f>
        <v>Pasta</v>
      </c>
      <c r="P154" t="str">
        <f t="shared" si="2"/>
        <v>Normal_Sales</v>
      </c>
      <c r="Q154" t="str">
        <f>IF(Orders!G146&gt;=500,"Premium","Regular")</f>
        <v>Regular</v>
      </c>
    </row>
    <row r="155" spans="1:17" x14ac:dyDescent="0.25">
      <c r="A155" t="s">
        <v>289</v>
      </c>
      <c r="B155">
        <v>1062</v>
      </c>
      <c r="C155" t="s">
        <v>63</v>
      </c>
      <c r="D155">
        <v>2</v>
      </c>
      <c r="E155">
        <v>560</v>
      </c>
      <c r="F155" t="s">
        <v>136</v>
      </c>
      <c r="G155">
        <v>2026</v>
      </c>
      <c r="M155" t="str">
        <f>_xlfn.XLOOKUP(C147,Menu_Items!$A$2:$A$21,Menu_Items!$B$2:$B$21,"Not Found")</f>
        <v>Sandwich</v>
      </c>
      <c r="P155" t="str">
        <f t="shared" si="2"/>
        <v>Normal_Sales</v>
      </c>
      <c r="Q155" t="str">
        <f>IF(Orders!G147&gt;=500,"Premium","Regular")</f>
        <v>Regular</v>
      </c>
    </row>
    <row r="156" spans="1:17" x14ac:dyDescent="0.25">
      <c r="A156" t="s">
        <v>290</v>
      </c>
      <c r="B156">
        <v>1062</v>
      </c>
      <c r="C156" t="s">
        <v>65</v>
      </c>
      <c r="D156">
        <v>3</v>
      </c>
      <c r="E156">
        <v>1350</v>
      </c>
      <c r="F156" t="s">
        <v>136</v>
      </c>
      <c r="G156">
        <v>2026</v>
      </c>
      <c r="M156" t="str">
        <f>_xlfn.XLOOKUP(C148,Menu_Items!$A$2:$A$21,Menu_Items!$B$2:$B$21,"Not Found")</f>
        <v>Pasta</v>
      </c>
      <c r="P156" t="str">
        <f t="shared" si="2"/>
        <v>Normal_Sales</v>
      </c>
      <c r="Q156" t="str">
        <f>IF(Orders!G148&gt;=500,"Premium","Regular")</f>
        <v>Regular</v>
      </c>
    </row>
    <row r="157" spans="1:17" x14ac:dyDescent="0.25">
      <c r="A157" t="s">
        <v>291</v>
      </c>
      <c r="B157">
        <v>1063</v>
      </c>
      <c r="C157" t="s">
        <v>63</v>
      </c>
      <c r="D157">
        <v>1</v>
      </c>
      <c r="E157">
        <v>280</v>
      </c>
      <c r="F157" t="s">
        <v>136</v>
      </c>
      <c r="G157">
        <v>2026</v>
      </c>
      <c r="M157" t="str">
        <f>_xlfn.XLOOKUP(C149,Menu_Items!$A$2:$A$21,Menu_Items!$B$2:$B$21,"Not Found")</f>
        <v>Pasta</v>
      </c>
      <c r="P157" t="str">
        <f t="shared" si="2"/>
        <v>Normal_Sales</v>
      </c>
      <c r="Q157" t="str">
        <f>IF(Orders!G149&gt;=500,"Premium","Regular")</f>
        <v>Regular</v>
      </c>
    </row>
    <row r="158" spans="1:17" x14ac:dyDescent="0.25">
      <c r="A158" t="s">
        <v>292</v>
      </c>
      <c r="B158">
        <v>1063</v>
      </c>
      <c r="C158" t="s">
        <v>65</v>
      </c>
      <c r="D158">
        <v>2</v>
      </c>
      <c r="E158">
        <v>900</v>
      </c>
      <c r="F158" t="s">
        <v>136</v>
      </c>
      <c r="G158">
        <v>2026</v>
      </c>
      <c r="M158" t="str">
        <f>_xlfn.XLOOKUP(C150,Menu_Items!$A$2:$A$21,Menu_Items!$B$2:$B$21,"Not Found")</f>
        <v>Veg Biryani</v>
      </c>
      <c r="P158" t="str">
        <f t="shared" si="2"/>
        <v>Normal_Sales</v>
      </c>
      <c r="Q158" t="str">
        <f>IF(Orders!G150&gt;=500,"Premium","Regular")</f>
        <v>Regular</v>
      </c>
    </row>
    <row r="159" spans="1:17" x14ac:dyDescent="0.25">
      <c r="A159" t="s">
        <v>293</v>
      </c>
      <c r="B159">
        <v>1064</v>
      </c>
      <c r="C159" t="s">
        <v>65</v>
      </c>
      <c r="D159">
        <v>1</v>
      </c>
      <c r="E159">
        <v>450</v>
      </c>
      <c r="F159" t="s">
        <v>136</v>
      </c>
      <c r="G159">
        <v>2026</v>
      </c>
      <c r="M159" t="str">
        <f>_xlfn.XLOOKUP(C151,Menu_Items!$A$2:$A$21,Menu_Items!$B$2:$B$21,"Not Found")</f>
        <v>Chicken Biryani</v>
      </c>
      <c r="P159" t="str">
        <f t="shared" si="2"/>
        <v>High_Sales</v>
      </c>
      <c r="Q159" t="str">
        <f>IF(Orders!G151&gt;=500,"Premium","Regular")</f>
        <v>Regular</v>
      </c>
    </row>
    <row r="160" spans="1:17" x14ac:dyDescent="0.25">
      <c r="A160" t="s">
        <v>294</v>
      </c>
      <c r="B160">
        <v>1064</v>
      </c>
      <c r="C160" t="s">
        <v>68</v>
      </c>
      <c r="D160">
        <v>2</v>
      </c>
      <c r="E160">
        <v>360</v>
      </c>
      <c r="F160" t="s">
        <v>136</v>
      </c>
      <c r="G160">
        <v>2026</v>
      </c>
      <c r="M160" t="str">
        <f>_xlfn.XLOOKUP(C152,Menu_Items!$A$2:$A$21,Menu_Items!$B$2:$B$21,"Not Found")</f>
        <v>Veg Biryani</v>
      </c>
      <c r="P160" t="str">
        <f t="shared" si="2"/>
        <v>Normal_Sales</v>
      </c>
      <c r="Q160" t="str">
        <f>IF(Orders!G152&gt;=500,"Premium","Regular")</f>
        <v>Regular</v>
      </c>
    </row>
    <row r="161" spans="1:17" x14ac:dyDescent="0.25">
      <c r="A161" t="s">
        <v>295</v>
      </c>
      <c r="B161">
        <v>1064</v>
      </c>
      <c r="C161" t="s">
        <v>70</v>
      </c>
      <c r="D161">
        <v>3</v>
      </c>
      <c r="E161">
        <v>360</v>
      </c>
      <c r="F161" t="s">
        <v>136</v>
      </c>
      <c r="G161">
        <v>2026</v>
      </c>
      <c r="M161" t="str">
        <f>_xlfn.XLOOKUP(C153,Menu_Items!$A$2:$A$21,Menu_Items!$B$2:$B$21,"Not Found")</f>
        <v>Chicken Biryani</v>
      </c>
      <c r="P161" t="str">
        <f t="shared" si="2"/>
        <v>Normal_Sales</v>
      </c>
      <c r="Q161" t="str">
        <f>IF(Orders!G153&gt;=500,"Premium","Regular")</f>
        <v>Regular</v>
      </c>
    </row>
    <row r="162" spans="1:17" x14ac:dyDescent="0.25">
      <c r="A162" t="s">
        <v>296</v>
      </c>
      <c r="B162">
        <v>1065</v>
      </c>
      <c r="C162" t="s">
        <v>68</v>
      </c>
      <c r="D162">
        <v>1</v>
      </c>
      <c r="E162">
        <v>180</v>
      </c>
      <c r="F162" t="s">
        <v>136</v>
      </c>
      <c r="G162">
        <v>2026</v>
      </c>
      <c r="M162" t="str">
        <f>_xlfn.XLOOKUP(C154,Menu_Items!$A$2:$A$21,Menu_Items!$B$2:$B$21,"Not Found")</f>
        <v>Chicken Biryani</v>
      </c>
      <c r="P162" t="str">
        <f t="shared" si="2"/>
        <v>Normal_Sales</v>
      </c>
      <c r="Q162" t="str">
        <f>IF(Orders!G154&gt;=500,"Premium","Regular")</f>
        <v>Regular</v>
      </c>
    </row>
    <row r="163" spans="1:17" x14ac:dyDescent="0.25">
      <c r="A163" t="s">
        <v>297</v>
      </c>
      <c r="B163">
        <v>1065</v>
      </c>
      <c r="C163" t="s">
        <v>70</v>
      </c>
      <c r="D163">
        <v>2</v>
      </c>
      <c r="E163">
        <v>240</v>
      </c>
      <c r="F163" t="s">
        <v>136</v>
      </c>
      <c r="G163">
        <v>2026</v>
      </c>
      <c r="M163" t="str">
        <f>_xlfn.XLOOKUP(C155,Menu_Items!$A$2:$A$21,Menu_Items!$B$2:$B$21,"Not Found")</f>
        <v>Paneer Butter Masala</v>
      </c>
      <c r="P163" t="str">
        <f t="shared" si="2"/>
        <v>Normal_Sales</v>
      </c>
      <c r="Q163" t="str">
        <f>IF(Orders!G155&gt;=500,"Premium","Regular")</f>
        <v>Regular</v>
      </c>
    </row>
    <row r="164" spans="1:17" x14ac:dyDescent="0.25">
      <c r="A164" t="s">
        <v>298</v>
      </c>
      <c r="B164">
        <v>1066</v>
      </c>
      <c r="C164" t="s">
        <v>70</v>
      </c>
      <c r="D164">
        <v>1</v>
      </c>
      <c r="E164">
        <v>120</v>
      </c>
      <c r="F164" t="s">
        <v>400</v>
      </c>
      <c r="G164">
        <v>2026</v>
      </c>
      <c r="M164" t="str">
        <f>_xlfn.XLOOKUP(C156,Menu_Items!$A$2:$A$21,Menu_Items!$B$2:$B$21,"Not Found")</f>
        <v>Pizza</v>
      </c>
      <c r="P164" t="str">
        <f t="shared" si="2"/>
        <v>High_Sales</v>
      </c>
      <c r="Q164" t="str">
        <f>IF(Orders!G156&gt;=500,"Premium","Regular")</f>
        <v>Regular</v>
      </c>
    </row>
    <row r="165" spans="1:17" x14ac:dyDescent="0.25">
      <c r="A165" t="s">
        <v>299</v>
      </c>
      <c r="B165">
        <v>1066</v>
      </c>
      <c r="C165" t="s">
        <v>73</v>
      </c>
      <c r="D165">
        <v>2</v>
      </c>
      <c r="E165">
        <v>440</v>
      </c>
      <c r="F165" t="s">
        <v>136</v>
      </c>
      <c r="G165">
        <v>2026</v>
      </c>
      <c r="M165" t="str">
        <f>_xlfn.XLOOKUP(C157,Menu_Items!$A$2:$A$21,Menu_Items!$B$2:$B$21,"Not Found")</f>
        <v>Paneer Butter Masala</v>
      </c>
      <c r="P165" t="str">
        <f t="shared" si="2"/>
        <v>Normal_Sales</v>
      </c>
      <c r="Q165" t="str">
        <f>IF(Orders!G157&gt;=500,"Premium","Regular")</f>
        <v>Regular</v>
      </c>
    </row>
    <row r="166" spans="1:17" x14ac:dyDescent="0.25">
      <c r="A166" t="s">
        <v>300</v>
      </c>
      <c r="B166">
        <v>1066</v>
      </c>
      <c r="C166" t="s">
        <v>75</v>
      </c>
      <c r="D166">
        <v>3</v>
      </c>
      <c r="E166">
        <v>720</v>
      </c>
      <c r="F166" t="s">
        <v>136</v>
      </c>
      <c r="G166">
        <v>2026</v>
      </c>
      <c r="M166" t="str">
        <f>_xlfn.XLOOKUP(C158,Menu_Items!$A$2:$A$21,Menu_Items!$B$2:$B$21,"Not Found")</f>
        <v>Pizza</v>
      </c>
      <c r="P166" t="str">
        <f t="shared" si="2"/>
        <v>Normal_Sales</v>
      </c>
      <c r="Q166" t="str">
        <f>IF(Orders!G158&gt;=500,"Premium","Regular")</f>
        <v>Regular</v>
      </c>
    </row>
    <row r="167" spans="1:17" x14ac:dyDescent="0.25">
      <c r="A167" t="s">
        <v>301</v>
      </c>
      <c r="B167">
        <v>1067</v>
      </c>
      <c r="C167" t="s">
        <v>73</v>
      </c>
      <c r="D167">
        <v>1</v>
      </c>
      <c r="E167">
        <v>220</v>
      </c>
      <c r="F167" t="s">
        <v>136</v>
      </c>
      <c r="G167">
        <v>2026</v>
      </c>
      <c r="M167" t="str">
        <f>_xlfn.XLOOKUP(C159,Menu_Items!$A$2:$A$21,Menu_Items!$B$2:$B$21,"Not Found")</f>
        <v>Pizza</v>
      </c>
      <c r="P167" t="str">
        <f t="shared" si="2"/>
        <v>Normal_Sales</v>
      </c>
      <c r="Q167" t="str">
        <f>IF(Orders!G159&gt;=500,"Premium","Regular")</f>
        <v>Regular</v>
      </c>
    </row>
    <row r="168" spans="1:17" x14ac:dyDescent="0.25">
      <c r="A168" t="s">
        <v>302</v>
      </c>
      <c r="B168">
        <v>1067</v>
      </c>
      <c r="C168" t="s">
        <v>75</v>
      </c>
      <c r="D168">
        <v>2</v>
      </c>
      <c r="E168">
        <v>480</v>
      </c>
      <c r="F168" t="s">
        <v>136</v>
      </c>
      <c r="G168">
        <v>2026</v>
      </c>
      <c r="M168" t="str">
        <f>_xlfn.XLOOKUP(C160,Menu_Items!$A$2:$A$21,Menu_Items!$B$2:$B$21,"Not Found")</f>
        <v>Burger</v>
      </c>
      <c r="P168" t="str">
        <f t="shared" si="2"/>
        <v>Normal_Sales</v>
      </c>
      <c r="Q168" t="str">
        <f>IF(Orders!G160&gt;=500,"Premium","Regular")</f>
        <v>Regular</v>
      </c>
    </row>
    <row r="169" spans="1:17" x14ac:dyDescent="0.25">
      <c r="A169" t="s">
        <v>303</v>
      </c>
      <c r="B169">
        <v>1068</v>
      </c>
      <c r="C169" t="s">
        <v>75</v>
      </c>
      <c r="D169">
        <v>1</v>
      </c>
      <c r="E169">
        <v>240</v>
      </c>
      <c r="F169" t="s">
        <v>136</v>
      </c>
      <c r="G169">
        <v>2026</v>
      </c>
      <c r="M169" t="str">
        <f>_xlfn.XLOOKUP(C161,Menu_Items!$A$2:$A$21,Menu_Items!$B$2:$B$21,"Not Found")</f>
        <v>French Fries</v>
      </c>
      <c r="P169" t="str">
        <f t="shared" si="2"/>
        <v>Normal_Sales</v>
      </c>
      <c r="Q169" t="str">
        <f>IF(Orders!G161&gt;=500,"Premium","Regular")</f>
        <v>Regular</v>
      </c>
    </row>
    <row r="170" spans="1:17" x14ac:dyDescent="0.25">
      <c r="A170" t="s">
        <v>304</v>
      </c>
      <c r="B170">
        <v>1068</v>
      </c>
      <c r="C170" t="s">
        <v>77</v>
      </c>
      <c r="D170">
        <v>2</v>
      </c>
      <c r="E170">
        <v>300</v>
      </c>
      <c r="F170" t="s">
        <v>400</v>
      </c>
      <c r="G170">
        <v>2026</v>
      </c>
      <c r="M170" t="str">
        <f>_xlfn.XLOOKUP(C162,Menu_Items!$A$2:$A$21,Menu_Items!$B$2:$B$21,"Not Found")</f>
        <v>Burger</v>
      </c>
      <c r="P170" t="str">
        <f t="shared" si="2"/>
        <v>Normal_Sales</v>
      </c>
      <c r="Q170" t="str">
        <f>IF(Orders!G162&gt;=500,"Premium","Regular")</f>
        <v>Regular</v>
      </c>
    </row>
    <row r="171" spans="1:17" x14ac:dyDescent="0.25">
      <c r="A171" t="s">
        <v>305</v>
      </c>
      <c r="B171">
        <v>1068</v>
      </c>
      <c r="C171" t="s">
        <v>80</v>
      </c>
      <c r="D171">
        <v>3</v>
      </c>
      <c r="E171">
        <v>540</v>
      </c>
      <c r="F171" t="s">
        <v>136</v>
      </c>
      <c r="G171">
        <v>2026</v>
      </c>
      <c r="M171" t="str">
        <f>_xlfn.XLOOKUP(C163,Menu_Items!$A$2:$A$21,Menu_Items!$B$2:$B$21,"Not Found")</f>
        <v>French Fries</v>
      </c>
      <c r="P171" t="str">
        <f t="shared" si="2"/>
        <v>Normal_Sales</v>
      </c>
      <c r="Q171" t="str">
        <f>IF(Orders!G163&gt;=500,"Premium","Regular")</f>
        <v>Regular</v>
      </c>
    </row>
    <row r="172" spans="1:17" x14ac:dyDescent="0.25">
      <c r="A172" t="s">
        <v>306</v>
      </c>
      <c r="B172">
        <v>1069</v>
      </c>
      <c r="C172" t="s">
        <v>77</v>
      </c>
      <c r="D172">
        <v>1</v>
      </c>
      <c r="E172">
        <v>150</v>
      </c>
      <c r="F172" t="s">
        <v>136</v>
      </c>
      <c r="G172">
        <v>2026</v>
      </c>
      <c r="M172" t="str">
        <f>_xlfn.XLOOKUP(C164,Menu_Items!$A$2:$A$21,Menu_Items!$B$2:$B$21,"Not Found")</f>
        <v>French Fries</v>
      </c>
      <c r="P172" t="str">
        <f t="shared" si="2"/>
        <v>Normal_Sales</v>
      </c>
      <c r="Q172" t="str">
        <f>IF(Orders!G164&gt;=500,"Premium","Regular")</f>
        <v>Regular</v>
      </c>
    </row>
    <row r="173" spans="1:17" x14ac:dyDescent="0.25">
      <c r="A173" t="s">
        <v>307</v>
      </c>
      <c r="B173">
        <v>1069</v>
      </c>
      <c r="C173" t="s">
        <v>80</v>
      </c>
      <c r="D173">
        <v>2</v>
      </c>
      <c r="E173">
        <v>360</v>
      </c>
      <c r="F173" t="s">
        <v>136</v>
      </c>
      <c r="G173">
        <v>2026</v>
      </c>
      <c r="M173" t="str">
        <f>_xlfn.XLOOKUP(C165,Menu_Items!$A$2:$A$21,Menu_Items!$B$2:$B$21,"Not Found")</f>
        <v>Noodles</v>
      </c>
      <c r="P173" t="str">
        <f t="shared" si="2"/>
        <v>Normal_Sales</v>
      </c>
      <c r="Q173" t="str">
        <f>IF(Orders!G165&gt;=500,"Premium","Regular")</f>
        <v>Regular</v>
      </c>
    </row>
    <row r="174" spans="1:17" x14ac:dyDescent="0.25">
      <c r="A174" t="s">
        <v>308</v>
      </c>
      <c r="B174">
        <v>1070</v>
      </c>
      <c r="C174" t="s">
        <v>80</v>
      </c>
      <c r="D174">
        <v>1</v>
      </c>
      <c r="E174">
        <v>180</v>
      </c>
      <c r="F174" t="s">
        <v>136</v>
      </c>
      <c r="G174">
        <v>2026</v>
      </c>
      <c r="M174" t="str">
        <f>_xlfn.XLOOKUP(C166,Menu_Items!$A$2:$A$21,Menu_Items!$B$2:$B$21,"Not Found")</f>
        <v>Fried Rice</v>
      </c>
      <c r="P174" t="str">
        <f t="shared" si="2"/>
        <v>Normal_Sales</v>
      </c>
      <c r="Q174" t="str">
        <f>IF(Orders!G166&gt;=500,"Premium","Regular")</f>
        <v>Regular</v>
      </c>
    </row>
    <row r="175" spans="1:17" x14ac:dyDescent="0.25">
      <c r="A175" t="s">
        <v>309</v>
      </c>
      <c r="B175">
        <v>1070</v>
      </c>
      <c r="C175" t="s">
        <v>82</v>
      </c>
      <c r="D175">
        <v>2</v>
      </c>
      <c r="E175">
        <v>200</v>
      </c>
      <c r="F175" t="s">
        <v>136</v>
      </c>
      <c r="G175">
        <v>2026</v>
      </c>
      <c r="M175" t="str">
        <f>_xlfn.XLOOKUP(C167,Menu_Items!$A$2:$A$21,Menu_Items!$B$2:$B$21,"Not Found")</f>
        <v>Noodles</v>
      </c>
      <c r="P175" t="str">
        <f t="shared" si="2"/>
        <v>Normal_Sales</v>
      </c>
      <c r="Q175" t="str">
        <f>IF(Orders!G167&gt;=500,"Premium","Regular")</f>
        <v>Regular</v>
      </c>
    </row>
    <row r="176" spans="1:17" x14ac:dyDescent="0.25">
      <c r="A176" t="s">
        <v>310</v>
      </c>
      <c r="B176">
        <v>1070</v>
      </c>
      <c r="C176" t="s">
        <v>84</v>
      </c>
      <c r="D176">
        <v>3</v>
      </c>
      <c r="E176">
        <v>180</v>
      </c>
      <c r="F176" t="s">
        <v>136</v>
      </c>
      <c r="G176">
        <v>2026</v>
      </c>
      <c r="M176" t="str">
        <f>_xlfn.XLOOKUP(C168,Menu_Items!$A$2:$A$21,Menu_Items!$B$2:$B$21,"Not Found")</f>
        <v>Fried Rice</v>
      </c>
      <c r="P176" t="str">
        <f t="shared" si="2"/>
        <v>Normal_Sales</v>
      </c>
      <c r="Q176" t="str">
        <f>IF(Orders!G168&gt;=500,"Premium","Regular")</f>
        <v>Regular</v>
      </c>
    </row>
    <row r="177" spans="1:17" x14ac:dyDescent="0.25">
      <c r="A177" t="s">
        <v>311</v>
      </c>
      <c r="B177">
        <v>1071</v>
      </c>
      <c r="C177" t="s">
        <v>82</v>
      </c>
      <c r="D177">
        <v>1</v>
      </c>
      <c r="E177">
        <v>100</v>
      </c>
      <c r="F177" t="s">
        <v>136</v>
      </c>
      <c r="G177">
        <v>2026</v>
      </c>
      <c r="M177" t="str">
        <f>_xlfn.XLOOKUP(C169,Menu_Items!$A$2:$A$21,Menu_Items!$B$2:$B$21,"Not Found")</f>
        <v>Fried Rice</v>
      </c>
      <c r="P177" t="str">
        <f t="shared" si="2"/>
        <v>Normal_Sales</v>
      </c>
      <c r="Q177" t="str">
        <f>IF(Orders!G169&gt;=500,"Premium","Regular")</f>
        <v>Regular</v>
      </c>
    </row>
    <row r="178" spans="1:17" x14ac:dyDescent="0.25">
      <c r="A178" t="s">
        <v>312</v>
      </c>
      <c r="B178">
        <v>1071</v>
      </c>
      <c r="C178" t="s">
        <v>84</v>
      </c>
      <c r="D178">
        <v>2</v>
      </c>
      <c r="E178">
        <v>120</v>
      </c>
      <c r="F178" t="s">
        <v>136</v>
      </c>
      <c r="G178">
        <v>2026</v>
      </c>
      <c r="M178" t="str">
        <f>_xlfn.XLOOKUP(C170,Menu_Items!$A$2:$A$21,Menu_Items!$B$2:$B$21,"Not Found")</f>
        <v>Ice Cream</v>
      </c>
      <c r="P178" t="str">
        <f t="shared" si="2"/>
        <v>Normal_Sales</v>
      </c>
      <c r="Q178" t="str">
        <f>IF(Orders!G170&gt;=500,"Premium","Regular")</f>
        <v>Regular</v>
      </c>
    </row>
    <row r="179" spans="1:17" x14ac:dyDescent="0.25">
      <c r="A179" t="s">
        <v>313</v>
      </c>
      <c r="B179">
        <v>1072</v>
      </c>
      <c r="C179" t="s">
        <v>84</v>
      </c>
      <c r="D179">
        <v>1</v>
      </c>
      <c r="E179">
        <v>60</v>
      </c>
      <c r="F179" t="s">
        <v>136</v>
      </c>
      <c r="G179">
        <v>2026</v>
      </c>
      <c r="M179" t="str">
        <f>_xlfn.XLOOKUP(C171,Menu_Items!$A$2:$A$21,Menu_Items!$B$2:$B$21,"Not Found")</f>
        <v>Brownie</v>
      </c>
      <c r="P179" t="str">
        <f t="shared" si="2"/>
        <v>Normal_Sales</v>
      </c>
      <c r="Q179" t="str">
        <f>IF(Orders!G171&gt;=500,"Premium","Regular")</f>
        <v>Regular</v>
      </c>
    </row>
    <row r="180" spans="1:17" x14ac:dyDescent="0.25">
      <c r="A180" t="s">
        <v>314</v>
      </c>
      <c r="B180">
        <v>1072</v>
      </c>
      <c r="C180" t="s">
        <v>87</v>
      </c>
      <c r="D180">
        <v>2</v>
      </c>
      <c r="E180">
        <v>120</v>
      </c>
      <c r="F180" t="s">
        <v>136</v>
      </c>
      <c r="G180">
        <v>2026</v>
      </c>
      <c r="M180" t="str">
        <f>_xlfn.XLOOKUP(C172,Menu_Items!$A$2:$A$21,Menu_Items!$B$2:$B$21,"Not Found")</f>
        <v>Ice Cream</v>
      </c>
      <c r="P180" t="str">
        <f t="shared" si="2"/>
        <v>Normal_Sales</v>
      </c>
      <c r="Q180" t="str">
        <f>IF(Orders!G172&gt;=500,"Premium","Regular")</f>
        <v>Regular</v>
      </c>
    </row>
    <row r="181" spans="1:17" x14ac:dyDescent="0.25">
      <c r="A181" t="s">
        <v>315</v>
      </c>
      <c r="B181">
        <v>1072</v>
      </c>
      <c r="C181" t="s">
        <v>89</v>
      </c>
      <c r="D181">
        <v>3</v>
      </c>
      <c r="E181">
        <v>240</v>
      </c>
      <c r="F181" t="s">
        <v>136</v>
      </c>
      <c r="G181">
        <v>2026</v>
      </c>
      <c r="M181" t="str">
        <f>_xlfn.XLOOKUP(C173,Menu_Items!$A$2:$A$21,Menu_Items!$B$2:$B$21,"Not Found")</f>
        <v>Brownie</v>
      </c>
      <c r="P181" t="str">
        <f t="shared" si="2"/>
        <v>Normal_Sales</v>
      </c>
      <c r="Q181" t="str">
        <f>IF(Orders!G173&gt;=500,"Premium","Regular")</f>
        <v>Regular</v>
      </c>
    </row>
    <row r="182" spans="1:17" x14ac:dyDescent="0.25">
      <c r="A182" t="s">
        <v>316</v>
      </c>
      <c r="B182">
        <v>1073</v>
      </c>
      <c r="C182" t="s">
        <v>87</v>
      </c>
      <c r="D182">
        <v>1</v>
      </c>
      <c r="E182">
        <v>60</v>
      </c>
      <c r="F182" t="s">
        <v>136</v>
      </c>
      <c r="G182">
        <v>2026</v>
      </c>
      <c r="M182" t="str">
        <f>_xlfn.XLOOKUP(C174,Menu_Items!$A$2:$A$21,Menu_Items!$B$2:$B$21,"Not Found")</f>
        <v>Brownie</v>
      </c>
      <c r="P182" t="str">
        <f t="shared" si="2"/>
        <v>Normal_Sales</v>
      </c>
      <c r="Q182" t="str">
        <f>IF(Orders!G174&gt;=500,"Premium","Regular")</f>
        <v>Regular</v>
      </c>
    </row>
    <row r="183" spans="1:17" x14ac:dyDescent="0.25">
      <c r="A183" t="s">
        <v>317</v>
      </c>
      <c r="B183">
        <v>1073</v>
      </c>
      <c r="C183" t="s">
        <v>89</v>
      </c>
      <c r="D183">
        <v>2</v>
      </c>
      <c r="E183">
        <v>160</v>
      </c>
      <c r="F183" t="s">
        <v>136</v>
      </c>
      <c r="G183">
        <v>2026</v>
      </c>
      <c r="M183" t="str">
        <f>_xlfn.XLOOKUP(C175,Menu_Items!$A$2:$A$21,Menu_Items!$B$2:$B$21,"Not Found")</f>
        <v>Gulab Jamun</v>
      </c>
      <c r="P183" t="str">
        <f t="shared" si="2"/>
        <v>Normal_Sales</v>
      </c>
      <c r="Q183" t="str">
        <f>IF(Orders!G175&gt;=500,"Premium","Regular")</f>
        <v>Regular</v>
      </c>
    </row>
    <row r="184" spans="1:17" x14ac:dyDescent="0.25">
      <c r="A184" t="s">
        <v>318</v>
      </c>
      <c r="B184">
        <v>1074</v>
      </c>
      <c r="C184" t="s">
        <v>89</v>
      </c>
      <c r="D184">
        <v>1</v>
      </c>
      <c r="E184">
        <v>80</v>
      </c>
      <c r="F184" t="s">
        <v>136</v>
      </c>
      <c r="G184">
        <v>2026</v>
      </c>
      <c r="M184" t="str">
        <f>_xlfn.XLOOKUP(C176,Menu_Items!$A$2:$A$21,Menu_Items!$B$2:$B$21,"Not Found")</f>
        <v>Coke</v>
      </c>
      <c r="P184" t="str">
        <f t="shared" si="2"/>
        <v>Normal_Sales</v>
      </c>
      <c r="Q184" t="str">
        <f>IF(Orders!G176&gt;=500,"Premium","Regular")</f>
        <v>Regular</v>
      </c>
    </row>
    <row r="185" spans="1:17" x14ac:dyDescent="0.25">
      <c r="A185" t="s">
        <v>319</v>
      </c>
      <c r="B185">
        <v>1074</v>
      </c>
      <c r="C185" t="s">
        <v>91</v>
      </c>
      <c r="D185">
        <v>2</v>
      </c>
      <c r="E185">
        <v>80</v>
      </c>
      <c r="F185" t="s">
        <v>136</v>
      </c>
      <c r="G185">
        <v>2026</v>
      </c>
      <c r="M185" t="str">
        <f>_xlfn.XLOOKUP(C177,Menu_Items!$A$2:$A$21,Menu_Items!$B$2:$B$21,"Not Found")</f>
        <v>Gulab Jamun</v>
      </c>
      <c r="P185" t="str">
        <f t="shared" si="2"/>
        <v>Normal_Sales</v>
      </c>
      <c r="Q185" t="str">
        <f>IF(Orders!G177&gt;=500,"Premium","Regular")</f>
        <v>Regular</v>
      </c>
    </row>
    <row r="186" spans="1:17" x14ac:dyDescent="0.25">
      <c r="A186" t="s">
        <v>320</v>
      </c>
      <c r="B186">
        <v>1074</v>
      </c>
      <c r="C186" t="s">
        <v>93</v>
      </c>
      <c r="D186">
        <v>3</v>
      </c>
      <c r="E186">
        <v>900</v>
      </c>
      <c r="F186" t="s">
        <v>136</v>
      </c>
      <c r="G186">
        <v>2026</v>
      </c>
      <c r="M186" t="str">
        <f>_xlfn.XLOOKUP(C178,Menu_Items!$A$2:$A$21,Menu_Items!$B$2:$B$21,"Not Found")</f>
        <v>Coke</v>
      </c>
      <c r="P186" t="str">
        <f t="shared" si="2"/>
        <v>Normal_Sales</v>
      </c>
      <c r="Q186" t="str">
        <f>IF(Orders!G178&gt;=500,"Premium","Regular")</f>
        <v>Regular</v>
      </c>
    </row>
    <row r="187" spans="1:17" x14ac:dyDescent="0.25">
      <c r="A187" t="s">
        <v>321</v>
      </c>
      <c r="B187">
        <v>1075</v>
      </c>
      <c r="C187" t="s">
        <v>91</v>
      </c>
      <c r="D187">
        <v>1</v>
      </c>
      <c r="E187">
        <v>40</v>
      </c>
      <c r="F187" t="s">
        <v>136</v>
      </c>
      <c r="G187">
        <v>2026</v>
      </c>
      <c r="M187" t="str">
        <f>_xlfn.XLOOKUP(C179,Menu_Items!$A$2:$A$21,Menu_Items!$B$2:$B$21,"Not Found")</f>
        <v>Coke</v>
      </c>
      <c r="P187" t="str">
        <f t="shared" si="2"/>
        <v>Normal_Sales</v>
      </c>
      <c r="Q187" t="str">
        <f>IF(Orders!G179&gt;=500,"Premium","Regular")</f>
        <v>Regular</v>
      </c>
    </row>
    <row r="188" spans="1:17" x14ac:dyDescent="0.25">
      <c r="A188" t="s">
        <v>322</v>
      </c>
      <c r="B188">
        <v>1075</v>
      </c>
      <c r="C188" t="s">
        <v>93</v>
      </c>
      <c r="D188">
        <v>2</v>
      </c>
      <c r="E188">
        <v>600</v>
      </c>
      <c r="F188" t="s">
        <v>136</v>
      </c>
      <c r="G188">
        <v>2026</v>
      </c>
      <c r="M188" t="str">
        <f>_xlfn.XLOOKUP(C180,Menu_Items!$A$2:$A$21,Menu_Items!$B$2:$B$21,"Not Found")</f>
        <v>Pepsi</v>
      </c>
      <c r="P188" t="str">
        <f t="shared" si="2"/>
        <v>Normal_Sales</v>
      </c>
      <c r="Q188" t="str">
        <f>IF(Orders!G180&gt;=500,"Premium","Regular")</f>
        <v>Regular</v>
      </c>
    </row>
    <row r="189" spans="1:17" x14ac:dyDescent="0.25">
      <c r="A189" t="s">
        <v>323</v>
      </c>
      <c r="B189">
        <v>1076</v>
      </c>
      <c r="C189" t="s">
        <v>93</v>
      </c>
      <c r="D189">
        <v>1</v>
      </c>
      <c r="E189">
        <v>300</v>
      </c>
      <c r="F189" t="s">
        <v>136</v>
      </c>
      <c r="G189">
        <v>2026</v>
      </c>
      <c r="M189" t="str">
        <f>_xlfn.XLOOKUP(C181,Menu_Items!$A$2:$A$21,Menu_Items!$B$2:$B$21,"Not Found")</f>
        <v>Coffee</v>
      </c>
      <c r="P189" t="str">
        <f t="shared" si="2"/>
        <v>Normal_Sales</v>
      </c>
      <c r="Q189" t="str">
        <f>IF(Orders!G181&gt;=500,"Premium","Regular")</f>
        <v>Regular</v>
      </c>
    </row>
    <row r="190" spans="1:17" x14ac:dyDescent="0.25">
      <c r="A190" t="s">
        <v>324</v>
      </c>
      <c r="B190">
        <v>1076</v>
      </c>
      <c r="C190" t="s">
        <v>96</v>
      </c>
      <c r="D190">
        <v>2</v>
      </c>
      <c r="E190">
        <v>560</v>
      </c>
      <c r="F190" t="s">
        <v>136</v>
      </c>
      <c r="G190">
        <v>2026</v>
      </c>
      <c r="M190" t="str">
        <f>_xlfn.XLOOKUP(C182,Menu_Items!$A$2:$A$21,Menu_Items!$B$2:$B$21,"Not Found")</f>
        <v>Pepsi</v>
      </c>
      <c r="P190" t="str">
        <f t="shared" si="2"/>
        <v>Normal_Sales</v>
      </c>
      <c r="Q190" t="str">
        <f>IF(Orders!G182&gt;=500,"Premium","Regular")</f>
        <v>Regular</v>
      </c>
    </row>
    <row r="191" spans="1:17" x14ac:dyDescent="0.25">
      <c r="A191" t="s">
        <v>325</v>
      </c>
      <c r="B191">
        <v>1076</v>
      </c>
      <c r="C191" t="s">
        <v>98</v>
      </c>
      <c r="D191">
        <v>3</v>
      </c>
      <c r="E191">
        <v>360</v>
      </c>
      <c r="F191" t="s">
        <v>136</v>
      </c>
      <c r="G191">
        <v>2026</v>
      </c>
      <c r="M191" t="str">
        <f>_xlfn.XLOOKUP(C183,Menu_Items!$A$2:$A$21,Menu_Items!$B$2:$B$21,"Not Found")</f>
        <v>Coffee</v>
      </c>
      <c r="P191" t="str">
        <f t="shared" si="2"/>
        <v>Normal_Sales</v>
      </c>
      <c r="Q191" t="str">
        <f>IF(Orders!G183&gt;=500,"Premium","Regular")</f>
        <v>Regular</v>
      </c>
    </row>
    <row r="192" spans="1:17" x14ac:dyDescent="0.25">
      <c r="A192" t="s">
        <v>326</v>
      </c>
      <c r="B192">
        <v>1077</v>
      </c>
      <c r="C192" t="s">
        <v>96</v>
      </c>
      <c r="D192">
        <v>1</v>
      </c>
      <c r="E192">
        <v>280</v>
      </c>
      <c r="F192" t="s">
        <v>136</v>
      </c>
      <c r="G192">
        <v>2026</v>
      </c>
      <c r="M192" t="str">
        <f>_xlfn.XLOOKUP(C184,Menu_Items!$A$2:$A$21,Menu_Items!$B$2:$B$21,"Not Found")</f>
        <v>Coffee</v>
      </c>
      <c r="P192" t="str">
        <f t="shared" si="2"/>
        <v>Normal_Sales</v>
      </c>
      <c r="Q192" t="str">
        <f>IF(Orders!G184&gt;=500,"Premium","Regular")</f>
        <v>Regular</v>
      </c>
    </row>
    <row r="193" spans="1:17" x14ac:dyDescent="0.25">
      <c r="A193" t="s">
        <v>327</v>
      </c>
      <c r="B193">
        <v>1077</v>
      </c>
      <c r="C193" t="s">
        <v>98</v>
      </c>
      <c r="D193">
        <v>2</v>
      </c>
      <c r="E193">
        <v>240</v>
      </c>
      <c r="F193" t="s">
        <v>136</v>
      </c>
      <c r="G193">
        <v>2026</v>
      </c>
      <c r="M193" t="str">
        <f>_xlfn.XLOOKUP(C185,Menu_Items!$A$2:$A$21,Menu_Items!$B$2:$B$21,"Not Found")</f>
        <v>Tea</v>
      </c>
      <c r="P193" t="str">
        <f t="shared" si="2"/>
        <v>Normal_Sales</v>
      </c>
      <c r="Q193" t="str">
        <f>IF(Orders!G185&gt;=500,"Premium","Regular")</f>
        <v>Regular</v>
      </c>
    </row>
    <row r="194" spans="1:17" x14ac:dyDescent="0.25">
      <c r="A194" t="s">
        <v>328</v>
      </c>
      <c r="B194">
        <v>1078</v>
      </c>
      <c r="C194" t="s">
        <v>98</v>
      </c>
      <c r="D194">
        <v>1</v>
      </c>
      <c r="E194">
        <v>120</v>
      </c>
      <c r="F194" t="s">
        <v>136</v>
      </c>
      <c r="G194">
        <v>2026</v>
      </c>
      <c r="M194" t="str">
        <f>_xlfn.XLOOKUP(C186,Menu_Items!$A$2:$A$21,Menu_Items!$B$2:$B$21,"Not Found")</f>
        <v>Chicken 65</v>
      </c>
      <c r="P194" t="str">
        <f t="shared" si="2"/>
        <v>Normal_Sales</v>
      </c>
      <c r="Q194" t="str">
        <f>IF(Orders!G186&gt;=500,"Premium","Regular")</f>
        <v>Regular</v>
      </c>
    </row>
    <row r="195" spans="1:17" x14ac:dyDescent="0.25">
      <c r="A195" t="s">
        <v>329</v>
      </c>
      <c r="B195">
        <v>1078</v>
      </c>
      <c r="C195" t="s">
        <v>100</v>
      </c>
      <c r="D195">
        <v>2</v>
      </c>
      <c r="E195">
        <v>300</v>
      </c>
      <c r="F195" t="s">
        <v>136</v>
      </c>
      <c r="G195">
        <v>2026</v>
      </c>
      <c r="M195" t="str">
        <f>_xlfn.XLOOKUP(C187,Menu_Items!$A$2:$A$21,Menu_Items!$B$2:$B$21,"Not Found")</f>
        <v>Tea</v>
      </c>
      <c r="P195" t="str">
        <f t="shared" si="2"/>
        <v>Normal_Sales</v>
      </c>
      <c r="Q195" t="str">
        <f>IF(Orders!G187&gt;=500,"Premium","Regular")</f>
        <v>Regular</v>
      </c>
    </row>
    <row r="196" spans="1:17" x14ac:dyDescent="0.25">
      <c r="A196" t="s">
        <v>330</v>
      </c>
      <c r="B196">
        <v>1078</v>
      </c>
      <c r="C196" t="s">
        <v>102</v>
      </c>
      <c r="D196">
        <v>3</v>
      </c>
      <c r="E196">
        <v>780</v>
      </c>
      <c r="F196" t="s">
        <v>136</v>
      </c>
      <c r="G196">
        <v>2026</v>
      </c>
      <c r="M196" t="str">
        <f>_xlfn.XLOOKUP(C188,Menu_Items!$A$2:$A$21,Menu_Items!$B$2:$B$21,"Not Found")</f>
        <v>Chicken 65</v>
      </c>
      <c r="P196" t="str">
        <f t="shared" si="2"/>
        <v>Normal_Sales</v>
      </c>
      <c r="Q196" t="str">
        <f>IF(Orders!G188&gt;=500,"Premium","Regular")</f>
        <v>Regular</v>
      </c>
    </row>
    <row r="197" spans="1:17" x14ac:dyDescent="0.25">
      <c r="A197" t="s">
        <v>331</v>
      </c>
      <c r="B197">
        <v>1079</v>
      </c>
      <c r="C197" t="s">
        <v>100</v>
      </c>
      <c r="D197">
        <v>1</v>
      </c>
      <c r="E197">
        <v>150</v>
      </c>
      <c r="F197" t="s">
        <v>136</v>
      </c>
      <c r="G197">
        <v>2026</v>
      </c>
      <c r="M197" t="str">
        <f>_xlfn.XLOOKUP(C189,Menu_Items!$A$2:$A$21,Menu_Items!$B$2:$B$21,"Not Found")</f>
        <v>Chicken 65</v>
      </c>
      <c r="P197" t="str">
        <f t="shared" si="2"/>
        <v>Normal_Sales</v>
      </c>
      <c r="Q197" t="str">
        <f>IF(Orders!G189&gt;=500,"Premium","Regular")</f>
        <v>Regular</v>
      </c>
    </row>
    <row r="198" spans="1:17" x14ac:dyDescent="0.25">
      <c r="A198" t="s">
        <v>332</v>
      </c>
      <c r="B198">
        <v>1079</v>
      </c>
      <c r="C198" t="s">
        <v>102</v>
      </c>
      <c r="D198">
        <v>2</v>
      </c>
      <c r="E198">
        <v>520</v>
      </c>
      <c r="F198" t="s">
        <v>136</v>
      </c>
      <c r="G198">
        <v>2026</v>
      </c>
      <c r="M198" t="str">
        <f>_xlfn.XLOOKUP(C190,Menu_Items!$A$2:$A$21,Menu_Items!$B$2:$B$21,"Not Found")</f>
        <v>Paneer Tikka</v>
      </c>
      <c r="P198" t="str">
        <f t="shared" si="2"/>
        <v>Normal_Sales</v>
      </c>
      <c r="Q198" t="str">
        <f>IF(Orders!G190&gt;=500,"Premium","Regular")</f>
        <v>Regular</v>
      </c>
    </row>
    <row r="199" spans="1:17" x14ac:dyDescent="0.25">
      <c r="A199" t="s">
        <v>333</v>
      </c>
      <c r="B199">
        <v>1080</v>
      </c>
      <c r="C199" t="s">
        <v>102</v>
      </c>
      <c r="D199">
        <v>1</v>
      </c>
      <c r="E199">
        <v>260</v>
      </c>
      <c r="F199" t="s">
        <v>136</v>
      </c>
      <c r="G199">
        <v>2026</v>
      </c>
      <c r="M199" t="str">
        <f>_xlfn.XLOOKUP(C191,Menu_Items!$A$2:$A$21,Menu_Items!$B$2:$B$21,"Not Found")</f>
        <v>Soup</v>
      </c>
      <c r="P199" t="str">
        <f t="shared" si="2"/>
        <v>Normal_Sales</v>
      </c>
      <c r="Q199" t="str">
        <f>IF(Orders!G191&gt;=500,"Premium","Regular")</f>
        <v>Regular</v>
      </c>
    </row>
    <row r="200" spans="1:17" x14ac:dyDescent="0.25">
      <c r="A200" t="s">
        <v>334</v>
      </c>
      <c r="B200">
        <v>1080</v>
      </c>
      <c r="C200" t="s">
        <v>58</v>
      </c>
      <c r="D200">
        <v>2</v>
      </c>
      <c r="E200">
        <v>500</v>
      </c>
      <c r="F200" t="s">
        <v>136</v>
      </c>
      <c r="G200">
        <v>2026</v>
      </c>
      <c r="M200" t="str">
        <f>_xlfn.XLOOKUP(C192,Menu_Items!$A$2:$A$21,Menu_Items!$B$2:$B$21,"Not Found")</f>
        <v>Paneer Tikka</v>
      </c>
      <c r="P200" t="str">
        <f t="shared" si="2"/>
        <v>Normal_Sales</v>
      </c>
      <c r="Q200" t="str">
        <f>IF(Orders!G192&gt;=500,"Premium","Regular")</f>
        <v>Regular</v>
      </c>
    </row>
    <row r="201" spans="1:17" x14ac:dyDescent="0.25">
      <c r="A201" t="s">
        <v>335</v>
      </c>
      <c r="B201">
        <v>1080</v>
      </c>
      <c r="C201" t="s">
        <v>61</v>
      </c>
      <c r="D201">
        <v>3</v>
      </c>
      <c r="E201">
        <v>1050</v>
      </c>
      <c r="F201" t="s">
        <v>136</v>
      </c>
      <c r="G201">
        <v>2026</v>
      </c>
      <c r="M201" t="str">
        <f>_xlfn.XLOOKUP(C193,Menu_Items!$A$2:$A$21,Menu_Items!$B$2:$B$21,"Not Found")</f>
        <v>Soup</v>
      </c>
      <c r="P201" t="str">
        <f t="shared" si="2"/>
        <v>Normal_Sales</v>
      </c>
      <c r="Q201" t="str">
        <f>IF(Orders!G193&gt;=500,"Premium","Regular")</f>
        <v>Regular</v>
      </c>
    </row>
    <row r="202" spans="1:17" x14ac:dyDescent="0.25">
      <c r="A202" t="s">
        <v>336</v>
      </c>
      <c r="B202">
        <v>1081</v>
      </c>
      <c r="C202" t="s">
        <v>58</v>
      </c>
      <c r="D202">
        <v>1</v>
      </c>
      <c r="E202">
        <v>250</v>
      </c>
      <c r="F202" t="s">
        <v>136</v>
      </c>
      <c r="G202">
        <v>2026</v>
      </c>
      <c r="M202" t="str">
        <f>_xlfn.XLOOKUP(C194,Menu_Items!$A$2:$A$21,Menu_Items!$B$2:$B$21,"Not Found")</f>
        <v>Soup</v>
      </c>
      <c r="P202" t="str">
        <f t="shared" ref="P202:P256" si="3">IF(E194&gt;=1000,"High_Sales","Normal_Sales")</f>
        <v>Normal_Sales</v>
      </c>
      <c r="Q202" t="str">
        <f>IF(Orders!G194&gt;=500,"Premium","Regular")</f>
        <v>Regular</v>
      </c>
    </row>
    <row r="203" spans="1:17" x14ac:dyDescent="0.25">
      <c r="A203" t="s">
        <v>337</v>
      </c>
      <c r="B203">
        <v>1081</v>
      </c>
      <c r="C203" t="s">
        <v>61</v>
      </c>
      <c r="D203">
        <v>2</v>
      </c>
      <c r="E203">
        <v>700</v>
      </c>
      <c r="F203" t="s">
        <v>400</v>
      </c>
      <c r="G203">
        <v>2026</v>
      </c>
      <c r="M203" t="str">
        <f>_xlfn.XLOOKUP(C195,Menu_Items!$A$2:$A$21,Menu_Items!$B$2:$B$21,"Not Found")</f>
        <v>Sandwich</v>
      </c>
      <c r="P203" t="str">
        <f t="shared" si="3"/>
        <v>Normal_Sales</v>
      </c>
      <c r="Q203" t="str">
        <f>IF(Orders!G195&gt;=500,"Premium","Regular")</f>
        <v>Regular</v>
      </c>
    </row>
    <row r="204" spans="1:17" x14ac:dyDescent="0.25">
      <c r="A204" t="s">
        <v>338</v>
      </c>
      <c r="B204">
        <v>1082</v>
      </c>
      <c r="C204" t="s">
        <v>61</v>
      </c>
      <c r="D204">
        <v>1</v>
      </c>
      <c r="E204">
        <v>350</v>
      </c>
      <c r="F204" t="s">
        <v>136</v>
      </c>
      <c r="G204">
        <v>2026</v>
      </c>
      <c r="M204" t="str">
        <f>_xlfn.XLOOKUP(C196,Menu_Items!$A$2:$A$21,Menu_Items!$B$2:$B$21,"Not Found")</f>
        <v>Pasta</v>
      </c>
      <c r="P204" t="str">
        <f t="shared" si="3"/>
        <v>Normal_Sales</v>
      </c>
      <c r="Q204" t="str">
        <f>IF(Orders!G196&gt;=500,"Premium","Regular")</f>
        <v>Regular</v>
      </c>
    </row>
    <row r="205" spans="1:17" x14ac:dyDescent="0.25">
      <c r="A205" t="s">
        <v>339</v>
      </c>
      <c r="B205">
        <v>1082</v>
      </c>
      <c r="C205" t="s">
        <v>63</v>
      </c>
      <c r="D205">
        <v>2</v>
      </c>
      <c r="E205">
        <v>560</v>
      </c>
      <c r="F205" t="s">
        <v>136</v>
      </c>
      <c r="G205">
        <v>2026</v>
      </c>
      <c r="M205" t="str">
        <f>_xlfn.XLOOKUP(C197,Menu_Items!$A$2:$A$21,Menu_Items!$B$2:$B$21,"Not Found")</f>
        <v>Sandwich</v>
      </c>
      <c r="P205" t="str">
        <f t="shared" si="3"/>
        <v>Normal_Sales</v>
      </c>
      <c r="Q205" t="str">
        <f>IF(Orders!G197&gt;=500,"Premium","Regular")</f>
        <v>Regular</v>
      </c>
    </row>
    <row r="206" spans="1:17" x14ac:dyDescent="0.25">
      <c r="A206" t="s">
        <v>340</v>
      </c>
      <c r="B206">
        <v>1082</v>
      </c>
      <c r="C206" t="s">
        <v>65</v>
      </c>
      <c r="D206">
        <v>3</v>
      </c>
      <c r="E206">
        <v>1350</v>
      </c>
      <c r="F206" t="s">
        <v>136</v>
      </c>
      <c r="G206">
        <v>2026</v>
      </c>
      <c r="M206" t="str">
        <f>_xlfn.XLOOKUP(C198,Menu_Items!$A$2:$A$21,Menu_Items!$B$2:$B$21,"Not Found")</f>
        <v>Pasta</v>
      </c>
      <c r="P206" t="str">
        <f t="shared" si="3"/>
        <v>Normal_Sales</v>
      </c>
      <c r="Q206" t="str">
        <f>IF(Orders!G198&gt;=500,"Premium","Regular")</f>
        <v>Regular</v>
      </c>
    </row>
    <row r="207" spans="1:17" x14ac:dyDescent="0.25">
      <c r="A207" t="s">
        <v>341</v>
      </c>
      <c r="B207">
        <v>1083</v>
      </c>
      <c r="C207" t="s">
        <v>63</v>
      </c>
      <c r="D207">
        <v>1</v>
      </c>
      <c r="E207">
        <v>280</v>
      </c>
      <c r="F207" t="s">
        <v>136</v>
      </c>
      <c r="G207">
        <v>2026</v>
      </c>
      <c r="M207" t="str">
        <f>_xlfn.XLOOKUP(C199,Menu_Items!$A$2:$A$21,Menu_Items!$B$2:$B$21,"Not Found")</f>
        <v>Pasta</v>
      </c>
      <c r="P207" t="str">
        <f t="shared" si="3"/>
        <v>Normal_Sales</v>
      </c>
      <c r="Q207" t="str">
        <f>IF(Orders!G199&gt;=500,"Premium","Regular")</f>
        <v>Regular</v>
      </c>
    </row>
    <row r="208" spans="1:17" x14ac:dyDescent="0.25">
      <c r="A208" t="s">
        <v>342</v>
      </c>
      <c r="B208">
        <v>1083</v>
      </c>
      <c r="C208" t="s">
        <v>65</v>
      </c>
      <c r="D208">
        <v>2</v>
      </c>
      <c r="E208">
        <v>900</v>
      </c>
      <c r="F208" t="s">
        <v>136</v>
      </c>
      <c r="G208">
        <v>2026</v>
      </c>
      <c r="M208" t="str">
        <f>_xlfn.XLOOKUP(C200,Menu_Items!$A$2:$A$21,Menu_Items!$B$2:$B$21,"Not Found")</f>
        <v>Veg Biryani</v>
      </c>
      <c r="P208" t="str">
        <f t="shared" si="3"/>
        <v>Normal_Sales</v>
      </c>
      <c r="Q208" t="str">
        <f>IF(Orders!G200&gt;=500,"Premium","Regular")</f>
        <v>Regular</v>
      </c>
    </row>
    <row r="209" spans="1:17" x14ac:dyDescent="0.25">
      <c r="A209" t="s">
        <v>343</v>
      </c>
      <c r="B209">
        <v>1084</v>
      </c>
      <c r="C209" t="s">
        <v>65</v>
      </c>
      <c r="D209">
        <v>1</v>
      </c>
      <c r="E209">
        <v>450</v>
      </c>
      <c r="F209" t="s">
        <v>136</v>
      </c>
      <c r="G209">
        <v>2026</v>
      </c>
      <c r="M209" t="str">
        <f>_xlfn.XLOOKUP(C201,Menu_Items!$A$2:$A$21,Menu_Items!$B$2:$B$21,"Not Found")</f>
        <v>Chicken Biryani</v>
      </c>
      <c r="P209" t="str">
        <f t="shared" si="3"/>
        <v>High_Sales</v>
      </c>
      <c r="Q209" t="str">
        <f>IF(Orders!G201&gt;=500,"Premium","Regular")</f>
        <v>Regular</v>
      </c>
    </row>
    <row r="210" spans="1:17" x14ac:dyDescent="0.25">
      <c r="A210" t="s">
        <v>344</v>
      </c>
      <c r="B210">
        <v>1084</v>
      </c>
      <c r="C210" t="s">
        <v>68</v>
      </c>
      <c r="D210">
        <v>2</v>
      </c>
      <c r="E210">
        <v>360</v>
      </c>
      <c r="F210" t="s">
        <v>136</v>
      </c>
      <c r="G210">
        <v>2026</v>
      </c>
      <c r="M210" t="str">
        <f>_xlfn.XLOOKUP(C202,Menu_Items!$A$2:$A$21,Menu_Items!$B$2:$B$21,"Not Found")</f>
        <v>Veg Biryani</v>
      </c>
      <c r="P210" t="str">
        <f t="shared" si="3"/>
        <v>Normal_Sales</v>
      </c>
      <c r="Q210" t="str">
        <f>IF(Orders!G202&gt;=500,"Premium","Regular")</f>
        <v>Regular</v>
      </c>
    </row>
    <row r="211" spans="1:17" x14ac:dyDescent="0.25">
      <c r="A211" t="s">
        <v>345</v>
      </c>
      <c r="B211">
        <v>1084</v>
      </c>
      <c r="C211" t="s">
        <v>70</v>
      </c>
      <c r="D211">
        <v>3</v>
      </c>
      <c r="E211">
        <v>360</v>
      </c>
      <c r="F211" t="s">
        <v>136</v>
      </c>
      <c r="G211">
        <v>2026</v>
      </c>
      <c r="M211" t="str">
        <f>_xlfn.XLOOKUP(C203,Menu_Items!$A$2:$A$21,Menu_Items!$B$2:$B$21,"Not Found")</f>
        <v>Chicken Biryani</v>
      </c>
      <c r="P211" t="str">
        <f t="shared" si="3"/>
        <v>Normal_Sales</v>
      </c>
      <c r="Q211" t="str">
        <f>IF(Orders!G203&gt;=500,"Premium","Regular")</f>
        <v>Regular</v>
      </c>
    </row>
    <row r="212" spans="1:17" x14ac:dyDescent="0.25">
      <c r="A212" t="s">
        <v>346</v>
      </c>
      <c r="B212">
        <v>1085</v>
      </c>
      <c r="C212" t="s">
        <v>68</v>
      </c>
      <c r="D212">
        <v>1</v>
      </c>
      <c r="E212">
        <v>180</v>
      </c>
      <c r="F212" t="s">
        <v>136</v>
      </c>
      <c r="G212">
        <v>2026</v>
      </c>
      <c r="M212" t="str">
        <f>_xlfn.XLOOKUP(C204,Menu_Items!$A$2:$A$21,Menu_Items!$B$2:$B$21,"Not Found")</f>
        <v>Chicken Biryani</v>
      </c>
      <c r="P212" t="str">
        <f t="shared" si="3"/>
        <v>Normal_Sales</v>
      </c>
      <c r="Q212" t="str">
        <f>IF(Orders!G204&gt;=500,"Premium","Regular")</f>
        <v>Regular</v>
      </c>
    </row>
    <row r="213" spans="1:17" x14ac:dyDescent="0.25">
      <c r="A213" t="s">
        <v>347</v>
      </c>
      <c r="B213">
        <v>1085</v>
      </c>
      <c r="C213" t="s">
        <v>70</v>
      </c>
      <c r="D213">
        <v>2</v>
      </c>
      <c r="E213">
        <v>240</v>
      </c>
      <c r="F213" t="s">
        <v>136</v>
      </c>
      <c r="G213">
        <v>2026</v>
      </c>
      <c r="M213" t="str">
        <f>_xlfn.XLOOKUP(C205,Menu_Items!$A$2:$A$21,Menu_Items!$B$2:$B$21,"Not Found")</f>
        <v>Paneer Butter Masala</v>
      </c>
      <c r="P213" t="str">
        <f t="shared" si="3"/>
        <v>Normal_Sales</v>
      </c>
      <c r="Q213" t="str">
        <f>IF(Orders!G205&gt;=500,"Premium","Regular")</f>
        <v>Regular</v>
      </c>
    </row>
    <row r="214" spans="1:17" x14ac:dyDescent="0.25">
      <c r="A214" t="s">
        <v>348</v>
      </c>
      <c r="B214">
        <v>1086</v>
      </c>
      <c r="C214" t="s">
        <v>70</v>
      </c>
      <c r="D214">
        <v>1</v>
      </c>
      <c r="E214">
        <v>120</v>
      </c>
      <c r="F214" t="s">
        <v>136</v>
      </c>
      <c r="G214">
        <v>2026</v>
      </c>
      <c r="M214" t="str">
        <f>_xlfn.XLOOKUP(C206,Menu_Items!$A$2:$A$21,Menu_Items!$B$2:$B$21,"Not Found")</f>
        <v>Pizza</v>
      </c>
      <c r="P214" t="str">
        <f t="shared" si="3"/>
        <v>High_Sales</v>
      </c>
      <c r="Q214" t="str">
        <f>IF(Orders!G206&gt;=500,"Premium","Regular")</f>
        <v>Regular</v>
      </c>
    </row>
    <row r="215" spans="1:17" x14ac:dyDescent="0.25">
      <c r="A215" t="s">
        <v>349</v>
      </c>
      <c r="B215">
        <v>1086</v>
      </c>
      <c r="C215" t="s">
        <v>73</v>
      </c>
      <c r="D215">
        <v>2</v>
      </c>
      <c r="E215">
        <v>440</v>
      </c>
      <c r="F215" t="s">
        <v>136</v>
      </c>
      <c r="G215">
        <v>2026</v>
      </c>
      <c r="M215" t="str">
        <f>_xlfn.XLOOKUP(C207,Menu_Items!$A$2:$A$21,Menu_Items!$B$2:$B$21,"Not Found")</f>
        <v>Paneer Butter Masala</v>
      </c>
      <c r="P215" t="str">
        <f t="shared" si="3"/>
        <v>Normal_Sales</v>
      </c>
      <c r="Q215" t="str">
        <f>IF(Orders!G207&gt;=500,"Premium","Regular")</f>
        <v>Regular</v>
      </c>
    </row>
    <row r="216" spans="1:17" x14ac:dyDescent="0.25">
      <c r="A216" t="s">
        <v>350</v>
      </c>
      <c r="B216">
        <v>1086</v>
      </c>
      <c r="C216" t="s">
        <v>75</v>
      </c>
      <c r="D216">
        <v>3</v>
      </c>
      <c r="E216">
        <v>720</v>
      </c>
      <c r="F216" t="s">
        <v>136</v>
      </c>
      <c r="G216">
        <v>2026</v>
      </c>
      <c r="M216" t="str">
        <f>_xlfn.XLOOKUP(C208,Menu_Items!$A$2:$A$21,Menu_Items!$B$2:$B$21,"Not Found")</f>
        <v>Pizza</v>
      </c>
      <c r="P216" t="str">
        <f t="shared" si="3"/>
        <v>Normal_Sales</v>
      </c>
      <c r="Q216" t="str">
        <f>IF(Orders!G208&gt;=500,"Premium","Regular")</f>
        <v>Regular</v>
      </c>
    </row>
    <row r="217" spans="1:17" x14ac:dyDescent="0.25">
      <c r="A217" t="s">
        <v>351</v>
      </c>
      <c r="B217">
        <v>1087</v>
      </c>
      <c r="C217" t="s">
        <v>73</v>
      </c>
      <c r="D217">
        <v>1</v>
      </c>
      <c r="E217">
        <v>220</v>
      </c>
      <c r="F217" t="s">
        <v>136</v>
      </c>
      <c r="G217">
        <v>2026</v>
      </c>
      <c r="M217" t="str">
        <f>_xlfn.XLOOKUP(C209,Menu_Items!$A$2:$A$21,Menu_Items!$B$2:$B$21,"Not Found")</f>
        <v>Pizza</v>
      </c>
      <c r="P217" t="str">
        <f t="shared" si="3"/>
        <v>Normal_Sales</v>
      </c>
      <c r="Q217" t="str">
        <f>IF(Orders!G209&gt;=500,"Premium","Regular")</f>
        <v>Regular</v>
      </c>
    </row>
    <row r="218" spans="1:17" x14ac:dyDescent="0.25">
      <c r="A218" t="s">
        <v>352</v>
      </c>
      <c r="B218">
        <v>1087</v>
      </c>
      <c r="C218" t="s">
        <v>75</v>
      </c>
      <c r="D218">
        <v>2</v>
      </c>
      <c r="E218">
        <v>480</v>
      </c>
      <c r="F218" t="s">
        <v>136</v>
      </c>
      <c r="G218">
        <v>2026</v>
      </c>
      <c r="M218" t="str">
        <f>_xlfn.XLOOKUP(C210,Menu_Items!$A$2:$A$21,Menu_Items!$B$2:$B$21,"Not Found")</f>
        <v>Burger</v>
      </c>
      <c r="P218" t="str">
        <f t="shared" si="3"/>
        <v>Normal_Sales</v>
      </c>
      <c r="Q218" t="str">
        <f>IF(Orders!G210&gt;=500,"Premium","Regular")</f>
        <v>Regular</v>
      </c>
    </row>
    <row r="219" spans="1:17" x14ac:dyDescent="0.25">
      <c r="A219" t="s">
        <v>353</v>
      </c>
      <c r="B219">
        <v>1088</v>
      </c>
      <c r="C219" t="s">
        <v>75</v>
      </c>
      <c r="D219">
        <v>1</v>
      </c>
      <c r="E219">
        <v>240</v>
      </c>
      <c r="F219" t="s">
        <v>136</v>
      </c>
      <c r="G219">
        <v>2026</v>
      </c>
      <c r="M219" t="str">
        <f>_xlfn.XLOOKUP(C211,Menu_Items!$A$2:$A$21,Menu_Items!$B$2:$B$21,"Not Found")</f>
        <v>French Fries</v>
      </c>
      <c r="P219" t="str">
        <f t="shared" si="3"/>
        <v>Normal_Sales</v>
      </c>
      <c r="Q219" t="str">
        <f>IF(Orders!G211&gt;=500,"Premium","Regular")</f>
        <v>Regular</v>
      </c>
    </row>
    <row r="220" spans="1:17" x14ac:dyDescent="0.25">
      <c r="A220" t="s">
        <v>354</v>
      </c>
      <c r="B220">
        <v>1088</v>
      </c>
      <c r="C220" t="s">
        <v>77</v>
      </c>
      <c r="D220">
        <v>2</v>
      </c>
      <c r="E220">
        <v>300</v>
      </c>
      <c r="F220" t="s">
        <v>136</v>
      </c>
      <c r="G220">
        <v>2026</v>
      </c>
      <c r="M220" t="str">
        <f>_xlfn.XLOOKUP(C212,Menu_Items!$A$2:$A$21,Menu_Items!$B$2:$B$21,"Not Found")</f>
        <v>Burger</v>
      </c>
      <c r="P220" t="str">
        <f t="shared" si="3"/>
        <v>Normal_Sales</v>
      </c>
      <c r="Q220" t="str">
        <f>IF(Orders!G212&gt;=500,"Premium","Regular")</f>
        <v>Regular</v>
      </c>
    </row>
    <row r="221" spans="1:17" x14ac:dyDescent="0.25">
      <c r="A221" t="s">
        <v>355</v>
      </c>
      <c r="B221">
        <v>1088</v>
      </c>
      <c r="C221" t="s">
        <v>80</v>
      </c>
      <c r="D221">
        <v>3</v>
      </c>
      <c r="E221">
        <v>540</v>
      </c>
      <c r="F221" t="s">
        <v>136</v>
      </c>
      <c r="G221">
        <v>2026</v>
      </c>
      <c r="M221" t="str">
        <f>_xlfn.XLOOKUP(C213,Menu_Items!$A$2:$A$21,Menu_Items!$B$2:$B$21,"Not Found")</f>
        <v>French Fries</v>
      </c>
      <c r="P221" t="str">
        <f t="shared" si="3"/>
        <v>Normal_Sales</v>
      </c>
      <c r="Q221" t="str">
        <f>IF(Orders!G213&gt;=500,"Premium","Regular")</f>
        <v>Regular</v>
      </c>
    </row>
    <row r="222" spans="1:17" x14ac:dyDescent="0.25">
      <c r="A222" t="s">
        <v>356</v>
      </c>
      <c r="B222">
        <v>1089</v>
      </c>
      <c r="C222" t="s">
        <v>77</v>
      </c>
      <c r="D222">
        <v>1</v>
      </c>
      <c r="E222">
        <v>150</v>
      </c>
      <c r="F222" t="s">
        <v>136</v>
      </c>
      <c r="G222">
        <v>2026</v>
      </c>
      <c r="M222" t="str">
        <f>_xlfn.XLOOKUP(C214,Menu_Items!$A$2:$A$21,Menu_Items!$B$2:$B$21,"Not Found")</f>
        <v>French Fries</v>
      </c>
      <c r="P222" t="str">
        <f t="shared" si="3"/>
        <v>Normal_Sales</v>
      </c>
      <c r="Q222" t="str">
        <f>IF(Orders!G214&gt;=500,"Premium","Regular")</f>
        <v>Regular</v>
      </c>
    </row>
    <row r="223" spans="1:17" x14ac:dyDescent="0.25">
      <c r="A223" t="s">
        <v>357</v>
      </c>
      <c r="B223">
        <v>1089</v>
      </c>
      <c r="C223" t="s">
        <v>80</v>
      </c>
      <c r="D223">
        <v>2</v>
      </c>
      <c r="E223">
        <v>360</v>
      </c>
      <c r="F223" t="s">
        <v>136</v>
      </c>
      <c r="G223">
        <v>2026</v>
      </c>
      <c r="M223" t="str">
        <f>_xlfn.XLOOKUP(C215,Menu_Items!$A$2:$A$21,Menu_Items!$B$2:$B$21,"Not Found")</f>
        <v>Noodles</v>
      </c>
      <c r="P223" t="str">
        <f t="shared" si="3"/>
        <v>Normal_Sales</v>
      </c>
      <c r="Q223" t="str">
        <f>IF(Orders!G215&gt;=500,"Premium","Regular")</f>
        <v>Regular</v>
      </c>
    </row>
    <row r="224" spans="1:17" x14ac:dyDescent="0.25">
      <c r="A224" t="s">
        <v>358</v>
      </c>
      <c r="B224">
        <v>1090</v>
      </c>
      <c r="C224" t="s">
        <v>80</v>
      </c>
      <c r="D224">
        <v>1</v>
      </c>
      <c r="E224">
        <v>180</v>
      </c>
      <c r="F224" t="s">
        <v>136</v>
      </c>
      <c r="G224">
        <v>2026</v>
      </c>
      <c r="M224" t="str">
        <f>_xlfn.XLOOKUP(C216,Menu_Items!$A$2:$A$21,Menu_Items!$B$2:$B$21,"Not Found")</f>
        <v>Fried Rice</v>
      </c>
      <c r="P224" t="str">
        <f t="shared" si="3"/>
        <v>Normal_Sales</v>
      </c>
      <c r="Q224" t="str">
        <f>IF(Orders!G216&gt;=500,"Premium","Regular")</f>
        <v>Regular</v>
      </c>
    </row>
    <row r="225" spans="1:17" x14ac:dyDescent="0.25">
      <c r="A225" t="s">
        <v>359</v>
      </c>
      <c r="B225">
        <v>1090</v>
      </c>
      <c r="C225" t="s">
        <v>82</v>
      </c>
      <c r="D225">
        <v>2</v>
      </c>
      <c r="E225">
        <v>200</v>
      </c>
      <c r="F225" t="s">
        <v>401</v>
      </c>
      <c r="G225">
        <v>2026</v>
      </c>
      <c r="M225" t="str">
        <f>_xlfn.XLOOKUP(C217,Menu_Items!$A$2:$A$21,Menu_Items!$B$2:$B$21,"Not Found")</f>
        <v>Noodles</v>
      </c>
      <c r="P225" t="str">
        <f t="shared" si="3"/>
        <v>Normal_Sales</v>
      </c>
      <c r="Q225" t="str">
        <f>IF(Orders!G217&gt;=500,"Premium","Regular")</f>
        <v>Regular</v>
      </c>
    </row>
    <row r="226" spans="1:17" x14ac:dyDescent="0.25">
      <c r="A226" t="s">
        <v>360</v>
      </c>
      <c r="B226">
        <v>1090</v>
      </c>
      <c r="C226" t="s">
        <v>84</v>
      </c>
      <c r="D226">
        <v>3</v>
      </c>
      <c r="E226">
        <v>180</v>
      </c>
      <c r="F226" t="s">
        <v>136</v>
      </c>
      <c r="G226">
        <v>2026</v>
      </c>
      <c r="M226" t="str">
        <f>_xlfn.XLOOKUP(C218,Menu_Items!$A$2:$A$21,Menu_Items!$B$2:$B$21,"Not Found")</f>
        <v>Fried Rice</v>
      </c>
      <c r="P226" t="str">
        <f t="shared" si="3"/>
        <v>Normal_Sales</v>
      </c>
      <c r="Q226" t="str">
        <f>IF(Orders!G218&gt;=500,"Premium","Regular")</f>
        <v>Regular</v>
      </c>
    </row>
    <row r="227" spans="1:17" x14ac:dyDescent="0.25">
      <c r="A227" t="s">
        <v>361</v>
      </c>
      <c r="B227">
        <v>1091</v>
      </c>
      <c r="C227" t="s">
        <v>82</v>
      </c>
      <c r="D227">
        <v>1</v>
      </c>
      <c r="E227">
        <v>100</v>
      </c>
      <c r="F227" t="s">
        <v>136</v>
      </c>
      <c r="G227">
        <v>2026</v>
      </c>
      <c r="M227" t="str">
        <f>_xlfn.XLOOKUP(C219,Menu_Items!$A$2:$A$21,Menu_Items!$B$2:$B$21,"Not Found")</f>
        <v>Fried Rice</v>
      </c>
      <c r="P227" t="str">
        <f t="shared" si="3"/>
        <v>Normal_Sales</v>
      </c>
      <c r="Q227" t="str">
        <f>IF(Orders!G219&gt;=500,"Premium","Regular")</f>
        <v>Regular</v>
      </c>
    </row>
    <row r="228" spans="1:17" x14ac:dyDescent="0.25">
      <c r="A228" t="s">
        <v>362</v>
      </c>
      <c r="B228">
        <v>1091</v>
      </c>
      <c r="C228" t="s">
        <v>84</v>
      </c>
      <c r="D228">
        <v>2</v>
      </c>
      <c r="E228">
        <v>120</v>
      </c>
      <c r="F228" t="s">
        <v>136</v>
      </c>
      <c r="G228">
        <v>2026</v>
      </c>
      <c r="M228" t="str">
        <f>_xlfn.XLOOKUP(C220,Menu_Items!$A$2:$A$21,Menu_Items!$B$2:$B$21,"Not Found")</f>
        <v>Ice Cream</v>
      </c>
      <c r="P228" t="str">
        <f t="shared" si="3"/>
        <v>Normal_Sales</v>
      </c>
      <c r="Q228" t="str">
        <f>IF(Orders!G220&gt;=500,"Premium","Regular")</f>
        <v>Regular</v>
      </c>
    </row>
    <row r="229" spans="1:17" x14ac:dyDescent="0.25">
      <c r="A229" t="s">
        <v>363</v>
      </c>
      <c r="B229">
        <v>1092</v>
      </c>
      <c r="C229" t="s">
        <v>84</v>
      </c>
      <c r="D229">
        <v>1</v>
      </c>
      <c r="E229">
        <v>60</v>
      </c>
      <c r="F229" t="s">
        <v>136</v>
      </c>
      <c r="G229">
        <v>2026</v>
      </c>
      <c r="M229" t="str">
        <f>_xlfn.XLOOKUP(C221,Menu_Items!$A$2:$A$21,Menu_Items!$B$2:$B$21,"Not Found")</f>
        <v>Brownie</v>
      </c>
      <c r="P229" t="str">
        <f t="shared" si="3"/>
        <v>Normal_Sales</v>
      </c>
      <c r="Q229" t="str">
        <f>IF(Orders!G221&gt;=500,"Premium","Regular")</f>
        <v>Regular</v>
      </c>
    </row>
    <row r="230" spans="1:17" x14ac:dyDescent="0.25">
      <c r="A230" t="s">
        <v>364</v>
      </c>
      <c r="B230">
        <v>1092</v>
      </c>
      <c r="C230" t="s">
        <v>87</v>
      </c>
      <c r="D230">
        <v>2</v>
      </c>
      <c r="E230">
        <v>120</v>
      </c>
      <c r="F230" t="s">
        <v>136</v>
      </c>
      <c r="G230">
        <v>2026</v>
      </c>
      <c r="M230" t="str">
        <f>_xlfn.XLOOKUP(C222,Menu_Items!$A$2:$A$21,Menu_Items!$B$2:$B$21,"Not Found")</f>
        <v>Ice Cream</v>
      </c>
      <c r="P230" t="str">
        <f t="shared" si="3"/>
        <v>Normal_Sales</v>
      </c>
      <c r="Q230" t="str">
        <f>IF(Orders!G222&gt;=500,"Premium","Regular")</f>
        <v>Regular</v>
      </c>
    </row>
    <row r="231" spans="1:17" x14ac:dyDescent="0.25">
      <c r="A231" t="s">
        <v>365</v>
      </c>
      <c r="B231">
        <v>1092</v>
      </c>
      <c r="C231" t="s">
        <v>89</v>
      </c>
      <c r="D231">
        <v>3</v>
      </c>
      <c r="E231">
        <v>240</v>
      </c>
      <c r="F231" t="s">
        <v>136</v>
      </c>
      <c r="G231">
        <v>2026</v>
      </c>
      <c r="M231" t="str">
        <f>_xlfn.XLOOKUP(C223,Menu_Items!$A$2:$A$21,Menu_Items!$B$2:$B$21,"Not Found")</f>
        <v>Brownie</v>
      </c>
      <c r="P231" t="str">
        <f t="shared" si="3"/>
        <v>Normal_Sales</v>
      </c>
      <c r="Q231" t="str">
        <f>IF(Orders!G223&gt;=500,"Premium","Regular")</f>
        <v>Regular</v>
      </c>
    </row>
    <row r="232" spans="1:17" x14ac:dyDescent="0.25">
      <c r="A232" t="s">
        <v>366</v>
      </c>
      <c r="B232">
        <v>1093</v>
      </c>
      <c r="C232" t="s">
        <v>87</v>
      </c>
      <c r="D232">
        <v>1</v>
      </c>
      <c r="E232">
        <v>60</v>
      </c>
      <c r="F232" t="s">
        <v>136</v>
      </c>
      <c r="G232">
        <v>2026</v>
      </c>
      <c r="M232" t="str">
        <f>_xlfn.XLOOKUP(C224,Menu_Items!$A$2:$A$21,Menu_Items!$B$2:$B$21,"Not Found")</f>
        <v>Brownie</v>
      </c>
      <c r="P232" t="str">
        <f t="shared" si="3"/>
        <v>Normal_Sales</v>
      </c>
      <c r="Q232" t="str">
        <f>IF(Orders!G224&gt;=500,"Premium","Regular")</f>
        <v>Regular</v>
      </c>
    </row>
    <row r="233" spans="1:17" x14ac:dyDescent="0.25">
      <c r="A233" t="s">
        <v>367</v>
      </c>
      <c r="B233">
        <v>1093</v>
      </c>
      <c r="C233" t="s">
        <v>89</v>
      </c>
      <c r="D233">
        <v>2</v>
      </c>
      <c r="E233">
        <v>160</v>
      </c>
      <c r="F233" t="s">
        <v>136</v>
      </c>
      <c r="G233">
        <v>2026</v>
      </c>
      <c r="M233" t="str">
        <f>_xlfn.XLOOKUP(C225,Menu_Items!$A$2:$A$21,Menu_Items!$B$2:$B$21,"Not Found")</f>
        <v>Gulab Jamun</v>
      </c>
      <c r="P233" t="str">
        <f t="shared" si="3"/>
        <v>Normal_Sales</v>
      </c>
      <c r="Q233" t="str">
        <f>IF(Orders!G225&gt;=500,"Premium","Regular")</f>
        <v>Regular</v>
      </c>
    </row>
    <row r="234" spans="1:17" x14ac:dyDescent="0.25">
      <c r="A234" t="s">
        <v>368</v>
      </c>
      <c r="B234">
        <v>1094</v>
      </c>
      <c r="C234" t="s">
        <v>89</v>
      </c>
      <c r="D234">
        <v>1</v>
      </c>
      <c r="E234">
        <v>80</v>
      </c>
      <c r="F234" t="s">
        <v>136</v>
      </c>
      <c r="G234">
        <v>2026</v>
      </c>
      <c r="M234" t="str">
        <f>_xlfn.XLOOKUP(C226,Menu_Items!$A$2:$A$21,Menu_Items!$B$2:$B$21,"Not Found")</f>
        <v>Coke</v>
      </c>
      <c r="P234" t="str">
        <f t="shared" si="3"/>
        <v>Normal_Sales</v>
      </c>
      <c r="Q234" t="str">
        <f>IF(Orders!G226&gt;=500,"Premium","Regular")</f>
        <v>Regular</v>
      </c>
    </row>
    <row r="235" spans="1:17" x14ac:dyDescent="0.25">
      <c r="A235" t="s">
        <v>369</v>
      </c>
      <c r="B235">
        <v>1094</v>
      </c>
      <c r="C235" t="s">
        <v>91</v>
      </c>
      <c r="D235">
        <v>2</v>
      </c>
      <c r="E235">
        <v>80</v>
      </c>
      <c r="F235" t="s">
        <v>136</v>
      </c>
      <c r="G235">
        <v>2026</v>
      </c>
      <c r="M235" t="str">
        <f>_xlfn.XLOOKUP(C227,Menu_Items!$A$2:$A$21,Menu_Items!$B$2:$B$21,"Not Found")</f>
        <v>Gulab Jamun</v>
      </c>
      <c r="P235" t="str">
        <f t="shared" si="3"/>
        <v>Normal_Sales</v>
      </c>
      <c r="Q235" t="str">
        <f>IF(Orders!G227&gt;=500,"Premium","Regular")</f>
        <v>Regular</v>
      </c>
    </row>
    <row r="236" spans="1:17" x14ac:dyDescent="0.25">
      <c r="A236" t="s">
        <v>370</v>
      </c>
      <c r="B236">
        <v>1094</v>
      </c>
      <c r="C236" t="s">
        <v>93</v>
      </c>
      <c r="D236">
        <v>3</v>
      </c>
      <c r="E236">
        <v>900</v>
      </c>
      <c r="F236" t="s">
        <v>136</v>
      </c>
      <c r="G236">
        <v>2026</v>
      </c>
      <c r="M236" t="str">
        <f>_xlfn.XLOOKUP(C228,Menu_Items!$A$2:$A$21,Menu_Items!$B$2:$B$21,"Not Found")</f>
        <v>Coke</v>
      </c>
      <c r="P236" t="str">
        <f t="shared" si="3"/>
        <v>Normal_Sales</v>
      </c>
      <c r="Q236" t="str">
        <f>IF(Orders!G228&gt;=500,"Premium","Regular")</f>
        <v>Regular</v>
      </c>
    </row>
    <row r="237" spans="1:17" x14ac:dyDescent="0.25">
      <c r="A237" t="s">
        <v>371</v>
      </c>
      <c r="B237">
        <v>1095</v>
      </c>
      <c r="C237" t="s">
        <v>91</v>
      </c>
      <c r="D237">
        <v>1</v>
      </c>
      <c r="E237">
        <v>40</v>
      </c>
      <c r="F237" t="s">
        <v>136</v>
      </c>
      <c r="G237">
        <v>2026</v>
      </c>
      <c r="M237" t="str">
        <f>_xlfn.XLOOKUP(C229,Menu_Items!$A$2:$A$21,Menu_Items!$B$2:$B$21,"Not Found")</f>
        <v>Coke</v>
      </c>
      <c r="P237" t="str">
        <f t="shared" si="3"/>
        <v>Normal_Sales</v>
      </c>
      <c r="Q237" t="str">
        <f>IF(Orders!G229&gt;=500,"Premium","Regular")</f>
        <v>Regular</v>
      </c>
    </row>
    <row r="238" spans="1:17" x14ac:dyDescent="0.25">
      <c r="A238" t="s">
        <v>372</v>
      </c>
      <c r="B238">
        <v>1095</v>
      </c>
      <c r="C238" t="s">
        <v>93</v>
      </c>
      <c r="D238">
        <v>2</v>
      </c>
      <c r="E238">
        <v>600</v>
      </c>
      <c r="F238" t="s">
        <v>401</v>
      </c>
      <c r="G238">
        <v>2026</v>
      </c>
      <c r="M238" t="str">
        <f>_xlfn.XLOOKUP(C230,Menu_Items!$A$2:$A$21,Menu_Items!$B$2:$B$21,"Not Found")</f>
        <v>Pepsi</v>
      </c>
      <c r="P238" t="str">
        <f t="shared" si="3"/>
        <v>Normal_Sales</v>
      </c>
      <c r="Q238" t="str">
        <f>IF(Orders!G230&gt;=500,"Premium","Regular")</f>
        <v>Regular</v>
      </c>
    </row>
    <row r="239" spans="1:17" x14ac:dyDescent="0.25">
      <c r="A239" t="s">
        <v>373</v>
      </c>
      <c r="B239">
        <v>1096</v>
      </c>
      <c r="C239" t="s">
        <v>93</v>
      </c>
      <c r="D239">
        <v>1</v>
      </c>
      <c r="E239">
        <v>300</v>
      </c>
      <c r="F239" t="s">
        <v>136</v>
      </c>
      <c r="G239">
        <v>2026</v>
      </c>
      <c r="M239" t="str">
        <f>_xlfn.XLOOKUP(C231,Menu_Items!$A$2:$A$21,Menu_Items!$B$2:$B$21,"Not Found")</f>
        <v>Coffee</v>
      </c>
      <c r="P239" t="str">
        <f t="shared" si="3"/>
        <v>Normal_Sales</v>
      </c>
      <c r="Q239" t="str">
        <f>IF(Orders!G231&gt;=500,"Premium","Regular")</f>
        <v>Regular</v>
      </c>
    </row>
    <row r="240" spans="1:17" x14ac:dyDescent="0.25">
      <c r="A240" t="s">
        <v>374</v>
      </c>
      <c r="B240">
        <v>1096</v>
      </c>
      <c r="C240" t="s">
        <v>96</v>
      </c>
      <c r="D240">
        <v>2</v>
      </c>
      <c r="E240">
        <v>560</v>
      </c>
      <c r="F240" t="s">
        <v>136</v>
      </c>
      <c r="G240">
        <v>2026</v>
      </c>
      <c r="M240" t="str">
        <f>_xlfn.XLOOKUP(C232,Menu_Items!$A$2:$A$21,Menu_Items!$B$2:$B$21,"Not Found")</f>
        <v>Pepsi</v>
      </c>
      <c r="P240" t="str">
        <f t="shared" si="3"/>
        <v>Normal_Sales</v>
      </c>
      <c r="Q240" t="str">
        <f>IF(Orders!G232&gt;=500,"Premium","Regular")</f>
        <v>Regular</v>
      </c>
    </row>
    <row r="241" spans="1:17" x14ac:dyDescent="0.25">
      <c r="A241" t="s">
        <v>375</v>
      </c>
      <c r="B241">
        <v>1096</v>
      </c>
      <c r="C241" t="s">
        <v>98</v>
      </c>
      <c r="D241">
        <v>3</v>
      </c>
      <c r="E241">
        <v>360</v>
      </c>
      <c r="F241" t="s">
        <v>136</v>
      </c>
      <c r="G241">
        <v>2026</v>
      </c>
      <c r="M241" t="str">
        <f>_xlfn.XLOOKUP(C233,Menu_Items!$A$2:$A$21,Menu_Items!$B$2:$B$21,"Not Found")</f>
        <v>Coffee</v>
      </c>
      <c r="P241" t="str">
        <f t="shared" si="3"/>
        <v>Normal_Sales</v>
      </c>
      <c r="Q241" t="str">
        <f>IF(Orders!G233&gt;=500,"Premium","Regular")</f>
        <v>Regular</v>
      </c>
    </row>
    <row r="242" spans="1:17" x14ac:dyDescent="0.25">
      <c r="A242" t="s">
        <v>376</v>
      </c>
      <c r="B242">
        <v>1097</v>
      </c>
      <c r="C242" t="s">
        <v>96</v>
      </c>
      <c r="D242">
        <v>1</v>
      </c>
      <c r="E242">
        <v>280</v>
      </c>
      <c r="F242" t="s">
        <v>136</v>
      </c>
      <c r="G242">
        <v>2026</v>
      </c>
      <c r="M242" t="str">
        <f>_xlfn.XLOOKUP(C234,Menu_Items!$A$2:$A$21,Menu_Items!$B$2:$B$21,"Not Found")</f>
        <v>Coffee</v>
      </c>
      <c r="P242" t="str">
        <f t="shared" si="3"/>
        <v>Normal_Sales</v>
      </c>
      <c r="Q242" t="str">
        <f>IF(Orders!G234&gt;=500,"Premium","Regular")</f>
        <v>Regular</v>
      </c>
    </row>
    <row r="243" spans="1:17" x14ac:dyDescent="0.25">
      <c r="A243" t="s">
        <v>377</v>
      </c>
      <c r="B243">
        <v>1097</v>
      </c>
      <c r="C243" t="s">
        <v>98</v>
      </c>
      <c r="D243">
        <v>2</v>
      </c>
      <c r="E243">
        <v>240</v>
      </c>
      <c r="F243" t="s">
        <v>136</v>
      </c>
      <c r="G243">
        <v>2026</v>
      </c>
      <c r="M243" t="str">
        <f>_xlfn.XLOOKUP(C235,Menu_Items!$A$2:$A$21,Menu_Items!$B$2:$B$21,"Not Found")</f>
        <v>Tea</v>
      </c>
      <c r="P243" t="str">
        <f t="shared" si="3"/>
        <v>Normal_Sales</v>
      </c>
      <c r="Q243" t="str">
        <f>IF(Orders!G235&gt;=500,"Premium","Regular")</f>
        <v>Regular</v>
      </c>
    </row>
    <row r="244" spans="1:17" x14ac:dyDescent="0.25">
      <c r="A244" t="s">
        <v>378</v>
      </c>
      <c r="B244">
        <v>1098</v>
      </c>
      <c r="C244" t="s">
        <v>98</v>
      </c>
      <c r="D244">
        <v>1</v>
      </c>
      <c r="E244">
        <v>120</v>
      </c>
      <c r="F244" t="s">
        <v>136</v>
      </c>
      <c r="G244">
        <v>2026</v>
      </c>
      <c r="M244" t="str">
        <f>_xlfn.XLOOKUP(C236,Menu_Items!$A$2:$A$21,Menu_Items!$B$2:$B$21,"Not Found")</f>
        <v>Chicken 65</v>
      </c>
      <c r="P244" t="str">
        <f t="shared" si="3"/>
        <v>Normal_Sales</v>
      </c>
      <c r="Q244" t="str">
        <f>IF(Orders!G236&gt;=500,"Premium","Regular")</f>
        <v>Regular</v>
      </c>
    </row>
    <row r="245" spans="1:17" x14ac:dyDescent="0.25">
      <c r="A245" t="s">
        <v>379</v>
      </c>
      <c r="B245">
        <v>1098</v>
      </c>
      <c r="C245" t="s">
        <v>100</v>
      </c>
      <c r="D245">
        <v>2</v>
      </c>
      <c r="E245">
        <v>300</v>
      </c>
      <c r="F245" t="s">
        <v>401</v>
      </c>
      <c r="G245">
        <v>2026</v>
      </c>
      <c r="M245" t="str">
        <f>_xlfn.XLOOKUP(C237,Menu_Items!$A$2:$A$21,Menu_Items!$B$2:$B$21,"Not Found")</f>
        <v>Tea</v>
      </c>
      <c r="P245" t="str">
        <f t="shared" si="3"/>
        <v>Normal_Sales</v>
      </c>
      <c r="Q245" t="str">
        <f>IF(Orders!G237&gt;=500,"Premium","Regular")</f>
        <v>Regular</v>
      </c>
    </row>
    <row r="246" spans="1:17" x14ac:dyDescent="0.25">
      <c r="A246" t="s">
        <v>380</v>
      </c>
      <c r="B246">
        <v>1098</v>
      </c>
      <c r="C246" t="s">
        <v>102</v>
      </c>
      <c r="D246">
        <v>3</v>
      </c>
      <c r="E246">
        <v>780</v>
      </c>
      <c r="F246" t="s">
        <v>136</v>
      </c>
      <c r="G246">
        <v>2026</v>
      </c>
      <c r="M246" t="str">
        <f>_xlfn.XLOOKUP(C238,Menu_Items!$A$2:$A$21,Menu_Items!$B$2:$B$21,"Not Found")</f>
        <v>Chicken 65</v>
      </c>
      <c r="P246" t="str">
        <f t="shared" si="3"/>
        <v>Normal_Sales</v>
      </c>
      <c r="Q246" t="str">
        <f>IF(Orders!G238&gt;=500,"Premium","Regular")</f>
        <v>Regular</v>
      </c>
    </row>
    <row r="247" spans="1:17" x14ac:dyDescent="0.25">
      <c r="A247" t="s">
        <v>381</v>
      </c>
      <c r="B247">
        <v>1099</v>
      </c>
      <c r="C247" t="s">
        <v>100</v>
      </c>
      <c r="D247">
        <v>1</v>
      </c>
      <c r="E247">
        <v>150</v>
      </c>
      <c r="F247" t="s">
        <v>136</v>
      </c>
      <c r="G247">
        <v>2026</v>
      </c>
      <c r="M247" t="str">
        <f>_xlfn.XLOOKUP(C239,Menu_Items!$A$2:$A$21,Menu_Items!$B$2:$B$21,"Not Found")</f>
        <v>Chicken 65</v>
      </c>
      <c r="P247" t="str">
        <f t="shared" si="3"/>
        <v>Normal_Sales</v>
      </c>
      <c r="Q247" t="str">
        <f>IF(Orders!G239&gt;=500,"Premium","Regular")</f>
        <v>Regular</v>
      </c>
    </row>
    <row r="248" spans="1:17" x14ac:dyDescent="0.25">
      <c r="A248" t="s">
        <v>382</v>
      </c>
      <c r="B248">
        <v>1099</v>
      </c>
      <c r="C248" t="s">
        <v>102</v>
      </c>
      <c r="D248">
        <v>2</v>
      </c>
      <c r="E248">
        <v>520</v>
      </c>
      <c r="F248" t="s">
        <v>136</v>
      </c>
      <c r="G248">
        <v>2026</v>
      </c>
      <c r="M248" t="str">
        <f>_xlfn.XLOOKUP(C240,Menu_Items!$A$2:$A$21,Menu_Items!$B$2:$B$21,"Not Found")</f>
        <v>Paneer Tikka</v>
      </c>
      <c r="P248" t="str">
        <f t="shared" si="3"/>
        <v>Normal_Sales</v>
      </c>
      <c r="Q248" t="str">
        <f>IF(Orders!G240&gt;=500,"Premium","Regular")</f>
        <v>Regular</v>
      </c>
    </row>
    <row r="249" spans="1:17" x14ac:dyDescent="0.25">
      <c r="A249" t="s">
        <v>383</v>
      </c>
      <c r="B249">
        <v>1100</v>
      </c>
      <c r="C249" t="s">
        <v>102</v>
      </c>
      <c r="D249">
        <v>1</v>
      </c>
      <c r="E249">
        <v>260</v>
      </c>
      <c r="F249" t="s">
        <v>136</v>
      </c>
      <c r="G249">
        <v>2026</v>
      </c>
      <c r="M249" t="str">
        <f>_xlfn.XLOOKUP(C241,Menu_Items!$A$2:$A$21,Menu_Items!$B$2:$B$21,"Not Found")</f>
        <v>Soup</v>
      </c>
      <c r="P249" t="str">
        <f t="shared" si="3"/>
        <v>Normal_Sales</v>
      </c>
      <c r="Q249" t="str">
        <f>IF(Orders!G241&gt;=500,"Premium","Regular")</f>
        <v>Regular</v>
      </c>
    </row>
    <row r="250" spans="1:17" x14ac:dyDescent="0.25">
      <c r="A250" t="s">
        <v>384</v>
      </c>
      <c r="B250">
        <v>1100</v>
      </c>
      <c r="C250" t="s">
        <v>58</v>
      </c>
      <c r="D250">
        <v>2</v>
      </c>
      <c r="E250">
        <v>500</v>
      </c>
      <c r="F250" t="s">
        <v>401</v>
      </c>
      <c r="G250">
        <v>2026</v>
      </c>
      <c r="M250" t="str">
        <f>_xlfn.XLOOKUP(C242,Menu_Items!$A$2:$A$21,Menu_Items!$B$2:$B$21,"Not Found")</f>
        <v>Paneer Tikka</v>
      </c>
      <c r="P250" t="str">
        <f t="shared" si="3"/>
        <v>Normal_Sales</v>
      </c>
      <c r="Q250" t="str">
        <f>IF(Orders!G242&gt;=500,"Premium","Regular")</f>
        <v>Regular</v>
      </c>
    </row>
    <row r="251" spans="1:17" x14ac:dyDescent="0.25">
      <c r="A251" t="s">
        <v>385</v>
      </c>
      <c r="B251">
        <v>1100</v>
      </c>
      <c r="C251" t="s">
        <v>61</v>
      </c>
      <c r="D251">
        <v>3</v>
      </c>
      <c r="E251">
        <v>1050</v>
      </c>
      <c r="F251" t="s">
        <v>136</v>
      </c>
      <c r="G251">
        <v>2026</v>
      </c>
      <c r="M251" t="str">
        <f>_xlfn.XLOOKUP(C243,Menu_Items!$A$2:$A$21,Menu_Items!$B$2:$B$21,"Not Found")</f>
        <v>Soup</v>
      </c>
      <c r="P251" t="str">
        <f t="shared" si="3"/>
        <v>Normal_Sales</v>
      </c>
      <c r="Q251" t="str">
        <f>IF(Orders!G243&gt;=500,"Premium","Regular")</f>
        <v>Regular</v>
      </c>
    </row>
    <row r="252" spans="1:17" x14ac:dyDescent="0.25">
      <c r="M252" t="str">
        <f>_xlfn.XLOOKUP(C244,Menu_Items!$A$2:$A$21,Menu_Items!$B$2:$B$21,"Not Found")</f>
        <v>Soup</v>
      </c>
      <c r="P252" t="str">
        <f t="shared" si="3"/>
        <v>Normal_Sales</v>
      </c>
      <c r="Q252" t="str">
        <f>IF(Orders!G244&gt;=500,"Premium","Regular")</f>
        <v>Regular</v>
      </c>
    </row>
    <row r="253" spans="1:17" x14ac:dyDescent="0.25">
      <c r="M253" t="str">
        <f>_xlfn.XLOOKUP(C245,Menu_Items!$A$2:$A$21,Menu_Items!$B$2:$B$21,"Not Found")</f>
        <v>Sandwich</v>
      </c>
      <c r="P253" t="str">
        <f t="shared" si="3"/>
        <v>Normal_Sales</v>
      </c>
      <c r="Q253" t="str">
        <f>IF(Orders!G245&gt;=500,"Premium","Regular")</f>
        <v>Regular</v>
      </c>
    </row>
    <row r="254" spans="1:17" x14ac:dyDescent="0.25">
      <c r="M254" t="str">
        <f>_xlfn.XLOOKUP(C246,Menu_Items!$A$2:$A$21,Menu_Items!$B$2:$B$21,"Not Found")</f>
        <v>Pasta</v>
      </c>
      <c r="P254" t="str">
        <f t="shared" si="3"/>
        <v>Normal_Sales</v>
      </c>
      <c r="Q254" t="str">
        <f>IF(Orders!G246&gt;=500,"Premium","Regular")</f>
        <v>Regular</v>
      </c>
    </row>
    <row r="255" spans="1:17" x14ac:dyDescent="0.25">
      <c r="M255" t="str">
        <f>_xlfn.XLOOKUP(C247,Menu_Items!$A$2:$A$21,Menu_Items!$B$2:$B$21,"Not Found")</f>
        <v>Sandwich</v>
      </c>
      <c r="P255" t="str">
        <f t="shared" si="3"/>
        <v>Normal_Sales</v>
      </c>
      <c r="Q255" t="str">
        <f>IF(Orders!G247&gt;=500,"Premium","Regular")</f>
        <v>Regular</v>
      </c>
    </row>
    <row r="256" spans="1:17" x14ac:dyDescent="0.25">
      <c r="M256" t="str">
        <f>_xlfn.XLOOKUP(C248,Menu_Items!$A$2:$A$21,Menu_Items!$B$2:$B$21,"Not Found")</f>
        <v>Pasta</v>
      </c>
      <c r="P256" t="str">
        <f t="shared" si="3"/>
        <v>Normal_Sales</v>
      </c>
      <c r="Q256" t="str">
        <f>IF(Orders!G248&gt;=500,"Premium","Regular")</f>
        <v>Regular</v>
      </c>
    </row>
  </sheetData>
  <pageMargins left="0.75" right="0.75" top="1" bottom="1" header="0.5" footer="0.5"/>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C6"/>
  <sheetViews>
    <sheetView workbookViewId="0"/>
  </sheetViews>
  <sheetFormatPr defaultRowHeight="15" x14ac:dyDescent="0.25"/>
  <cols>
    <col min="1" max="1" width="12" customWidth="1"/>
    <col min="2" max="2" width="19.85546875" customWidth="1"/>
    <col min="3" max="3" width="15.85546875" customWidth="1"/>
  </cols>
  <sheetData>
    <row r="1" spans="1:3" x14ac:dyDescent="0.25">
      <c r="A1" t="s">
        <v>0</v>
      </c>
      <c r="B1" t="s">
        <v>1</v>
      </c>
      <c r="C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H101"/>
  <sheetViews>
    <sheetView workbookViewId="0"/>
  </sheetViews>
  <sheetFormatPr defaultRowHeight="15" x14ac:dyDescent="0.25"/>
  <cols>
    <col min="1" max="1" width="11.140625" customWidth="1"/>
    <col min="2" max="2" width="18" customWidth="1"/>
    <col min="3" max="3" width="16.7109375" customWidth="1"/>
    <col min="4" max="4" width="13" customWidth="1"/>
    <col min="5" max="5" width="12.140625" customWidth="1"/>
    <col min="6" max="6" width="13.85546875" customWidth="1"/>
    <col min="7" max="7" width="16.85546875" customWidth="1"/>
    <col min="8" max="8" width="14.140625" customWidth="1"/>
  </cols>
  <sheetData>
    <row r="1" spans="1:8" x14ac:dyDescent="0.25">
      <c r="A1" t="s">
        <v>104</v>
      </c>
      <c r="B1" t="s">
        <v>105</v>
      </c>
      <c r="C1" t="s">
        <v>106</v>
      </c>
      <c r="D1" t="s">
        <v>0</v>
      </c>
      <c r="E1" t="s">
        <v>18</v>
      </c>
      <c r="F1" t="s">
        <v>44</v>
      </c>
      <c r="G1" t="s">
        <v>107</v>
      </c>
      <c r="H1" t="s">
        <v>108</v>
      </c>
    </row>
    <row r="2" spans="1:8" x14ac:dyDescent="0.25">
      <c r="A2">
        <v>1001</v>
      </c>
      <c r="B2" t="s">
        <v>109</v>
      </c>
      <c r="C2" s="1">
        <v>46023</v>
      </c>
      <c r="D2" t="s">
        <v>3</v>
      </c>
      <c r="E2" t="s">
        <v>22</v>
      </c>
      <c r="F2" t="s">
        <v>46</v>
      </c>
      <c r="G2">
        <v>400</v>
      </c>
      <c r="H2" t="s">
        <v>110</v>
      </c>
    </row>
    <row r="3" spans="1:8" x14ac:dyDescent="0.25">
      <c r="A3">
        <v>1002</v>
      </c>
      <c r="B3" t="s">
        <v>111</v>
      </c>
      <c r="C3" s="1">
        <v>46024</v>
      </c>
      <c r="D3" t="s">
        <v>6</v>
      </c>
      <c r="E3" t="s">
        <v>25</v>
      </c>
      <c r="F3" t="s">
        <v>48</v>
      </c>
      <c r="G3">
        <v>520</v>
      </c>
      <c r="H3" t="s">
        <v>112</v>
      </c>
    </row>
    <row r="4" spans="1:8" x14ac:dyDescent="0.25">
      <c r="A4">
        <v>1003</v>
      </c>
      <c r="B4" t="s">
        <v>41</v>
      </c>
      <c r="C4" s="1">
        <v>46025</v>
      </c>
      <c r="D4" t="s">
        <v>9</v>
      </c>
      <c r="E4" t="s">
        <v>28</v>
      </c>
      <c r="F4" t="s">
        <v>50</v>
      </c>
      <c r="G4">
        <v>640</v>
      </c>
      <c r="H4" t="s">
        <v>113</v>
      </c>
    </row>
    <row r="5" spans="1:8" x14ac:dyDescent="0.25">
      <c r="A5">
        <v>1004</v>
      </c>
      <c r="B5" t="s">
        <v>114</v>
      </c>
      <c r="C5" s="1">
        <v>46026</v>
      </c>
      <c r="D5" t="s">
        <v>12</v>
      </c>
      <c r="E5" t="s">
        <v>30</v>
      </c>
      <c r="F5" t="s">
        <v>52</v>
      </c>
      <c r="G5">
        <v>760</v>
      </c>
      <c r="H5" t="s">
        <v>110</v>
      </c>
    </row>
    <row r="6" spans="1:8" x14ac:dyDescent="0.25">
      <c r="A6">
        <v>1005</v>
      </c>
      <c r="B6" t="s">
        <v>115</v>
      </c>
      <c r="C6" s="1">
        <v>46027</v>
      </c>
      <c r="D6" t="s">
        <v>15</v>
      </c>
      <c r="E6" t="s">
        <v>32</v>
      </c>
      <c r="F6" t="s">
        <v>46</v>
      </c>
      <c r="G6">
        <v>880</v>
      </c>
      <c r="H6" t="s">
        <v>112</v>
      </c>
    </row>
    <row r="7" spans="1:8" x14ac:dyDescent="0.25">
      <c r="A7">
        <v>1006</v>
      </c>
      <c r="B7" t="s">
        <v>43</v>
      </c>
      <c r="C7" s="1">
        <v>46028</v>
      </c>
      <c r="D7" t="s">
        <v>3</v>
      </c>
      <c r="E7" t="s">
        <v>34</v>
      </c>
      <c r="F7" t="s">
        <v>48</v>
      </c>
      <c r="G7">
        <v>1000</v>
      </c>
      <c r="H7" t="s">
        <v>113</v>
      </c>
    </row>
    <row r="8" spans="1:8" x14ac:dyDescent="0.25">
      <c r="A8">
        <v>1007</v>
      </c>
      <c r="B8" t="s">
        <v>116</v>
      </c>
      <c r="C8" s="1">
        <v>46029</v>
      </c>
      <c r="D8" t="s">
        <v>6</v>
      </c>
      <c r="E8" t="s">
        <v>36</v>
      </c>
      <c r="F8" t="s">
        <v>50</v>
      </c>
      <c r="G8">
        <v>1120</v>
      </c>
      <c r="H8" t="s">
        <v>110</v>
      </c>
    </row>
    <row r="9" spans="1:8" x14ac:dyDescent="0.25">
      <c r="A9">
        <v>1008</v>
      </c>
      <c r="B9" t="s">
        <v>117</v>
      </c>
      <c r="C9" s="1">
        <v>46030</v>
      </c>
      <c r="D9" t="s">
        <v>9</v>
      </c>
      <c r="E9" t="s">
        <v>38</v>
      </c>
      <c r="F9" t="s">
        <v>52</v>
      </c>
      <c r="G9">
        <v>1240</v>
      </c>
      <c r="H9" t="s">
        <v>112</v>
      </c>
    </row>
    <row r="10" spans="1:8" x14ac:dyDescent="0.25">
      <c r="A10">
        <v>1009</v>
      </c>
      <c r="B10" t="s">
        <v>118</v>
      </c>
      <c r="C10" s="1">
        <v>46031</v>
      </c>
      <c r="D10" t="s">
        <v>12</v>
      </c>
      <c r="E10" t="s">
        <v>40</v>
      </c>
      <c r="F10" t="s">
        <v>46</v>
      </c>
      <c r="G10">
        <v>1360</v>
      </c>
      <c r="H10" t="s">
        <v>113</v>
      </c>
    </row>
    <row r="11" spans="1:8" x14ac:dyDescent="0.25">
      <c r="A11">
        <v>1010</v>
      </c>
      <c r="B11" t="s">
        <v>119</v>
      </c>
      <c r="C11" s="1">
        <v>46032</v>
      </c>
      <c r="D11" t="s">
        <v>15</v>
      </c>
      <c r="E11" t="s">
        <v>42</v>
      </c>
      <c r="F11" t="s">
        <v>48</v>
      </c>
      <c r="G11">
        <v>1480</v>
      </c>
      <c r="H11" t="s">
        <v>110</v>
      </c>
    </row>
    <row r="12" spans="1:8" x14ac:dyDescent="0.25">
      <c r="A12">
        <v>1011</v>
      </c>
      <c r="B12" t="s">
        <v>120</v>
      </c>
      <c r="C12" s="1">
        <v>46033</v>
      </c>
      <c r="D12" t="s">
        <v>3</v>
      </c>
      <c r="E12" t="s">
        <v>22</v>
      </c>
      <c r="F12" t="s">
        <v>50</v>
      </c>
      <c r="G12">
        <v>400</v>
      </c>
      <c r="H12" t="s">
        <v>112</v>
      </c>
    </row>
    <row r="13" spans="1:8" x14ac:dyDescent="0.25">
      <c r="A13">
        <v>1012</v>
      </c>
      <c r="B13" t="s">
        <v>121</v>
      </c>
      <c r="C13" s="1">
        <v>46034</v>
      </c>
      <c r="D13" t="s">
        <v>6</v>
      </c>
      <c r="E13" t="s">
        <v>25</v>
      </c>
      <c r="F13" t="s">
        <v>52</v>
      </c>
      <c r="G13">
        <v>520</v>
      </c>
      <c r="H13" t="s">
        <v>113</v>
      </c>
    </row>
    <row r="14" spans="1:8" x14ac:dyDescent="0.25">
      <c r="A14">
        <v>1013</v>
      </c>
      <c r="B14" t="s">
        <v>122</v>
      </c>
      <c r="C14" s="1">
        <v>46035</v>
      </c>
      <c r="D14" t="s">
        <v>9</v>
      </c>
      <c r="E14" t="s">
        <v>28</v>
      </c>
      <c r="F14" t="s">
        <v>46</v>
      </c>
      <c r="G14">
        <v>640</v>
      </c>
      <c r="H14" t="s">
        <v>110</v>
      </c>
    </row>
    <row r="15" spans="1:8" x14ac:dyDescent="0.25">
      <c r="A15">
        <v>1014</v>
      </c>
      <c r="B15" t="s">
        <v>123</v>
      </c>
      <c r="C15" s="1">
        <v>46036</v>
      </c>
      <c r="D15" t="s">
        <v>12</v>
      </c>
      <c r="E15" t="s">
        <v>30</v>
      </c>
      <c r="F15" t="s">
        <v>48</v>
      </c>
      <c r="G15">
        <v>760</v>
      </c>
      <c r="H15" t="s">
        <v>112</v>
      </c>
    </row>
    <row r="16" spans="1:8" x14ac:dyDescent="0.25">
      <c r="A16">
        <v>1015</v>
      </c>
      <c r="B16" t="s">
        <v>124</v>
      </c>
      <c r="C16" s="1">
        <v>46037</v>
      </c>
      <c r="D16" t="s">
        <v>15</v>
      </c>
      <c r="E16" t="s">
        <v>32</v>
      </c>
      <c r="F16" t="s">
        <v>50</v>
      </c>
      <c r="G16">
        <v>880</v>
      </c>
      <c r="H16" t="s">
        <v>113</v>
      </c>
    </row>
    <row r="17" spans="1:8" x14ac:dyDescent="0.25">
      <c r="A17">
        <v>1016</v>
      </c>
      <c r="B17" t="s">
        <v>125</v>
      </c>
      <c r="C17" s="1">
        <v>46038</v>
      </c>
      <c r="D17" t="s">
        <v>3</v>
      </c>
      <c r="E17" t="s">
        <v>34</v>
      </c>
      <c r="F17" t="s">
        <v>52</v>
      </c>
      <c r="G17">
        <v>1000</v>
      </c>
      <c r="H17" t="s">
        <v>110</v>
      </c>
    </row>
    <row r="18" spans="1:8" x14ac:dyDescent="0.25">
      <c r="A18">
        <v>1017</v>
      </c>
      <c r="B18" t="s">
        <v>126</v>
      </c>
      <c r="C18" s="1">
        <v>46039</v>
      </c>
      <c r="D18" t="s">
        <v>6</v>
      </c>
      <c r="E18" t="s">
        <v>36</v>
      </c>
      <c r="F18" t="s">
        <v>46</v>
      </c>
      <c r="G18">
        <v>1120</v>
      </c>
      <c r="H18" t="s">
        <v>112</v>
      </c>
    </row>
    <row r="19" spans="1:8" x14ac:dyDescent="0.25">
      <c r="A19">
        <v>1018</v>
      </c>
      <c r="B19" t="s">
        <v>127</v>
      </c>
      <c r="C19" s="1">
        <v>46040</v>
      </c>
      <c r="D19" t="s">
        <v>9</v>
      </c>
      <c r="E19" t="s">
        <v>38</v>
      </c>
      <c r="F19" t="s">
        <v>48</v>
      </c>
      <c r="G19">
        <v>1240</v>
      </c>
      <c r="H19" t="s">
        <v>113</v>
      </c>
    </row>
    <row r="20" spans="1:8" x14ac:dyDescent="0.25">
      <c r="A20">
        <v>1019</v>
      </c>
      <c r="B20" t="s">
        <v>128</v>
      </c>
      <c r="C20" s="1">
        <v>46041</v>
      </c>
      <c r="D20" t="s">
        <v>12</v>
      </c>
      <c r="E20" t="s">
        <v>40</v>
      </c>
      <c r="F20" t="s">
        <v>50</v>
      </c>
      <c r="G20">
        <v>1360</v>
      </c>
      <c r="H20" t="s">
        <v>110</v>
      </c>
    </row>
    <row r="21" spans="1:8" x14ac:dyDescent="0.25">
      <c r="A21">
        <v>1020</v>
      </c>
      <c r="B21" t="s">
        <v>129</v>
      </c>
      <c r="C21" s="1">
        <v>46042</v>
      </c>
      <c r="D21" t="s">
        <v>15</v>
      </c>
      <c r="E21" t="s">
        <v>42</v>
      </c>
      <c r="F21" t="s">
        <v>52</v>
      </c>
      <c r="G21">
        <v>1480</v>
      </c>
      <c r="H21" t="s">
        <v>112</v>
      </c>
    </row>
    <row r="22" spans="1:8" x14ac:dyDescent="0.25">
      <c r="A22">
        <v>1021</v>
      </c>
      <c r="B22" t="s">
        <v>109</v>
      </c>
      <c r="C22" s="1">
        <v>46043</v>
      </c>
      <c r="D22" t="s">
        <v>3</v>
      </c>
      <c r="E22" t="s">
        <v>22</v>
      </c>
      <c r="F22" t="s">
        <v>46</v>
      </c>
      <c r="G22">
        <v>400</v>
      </c>
      <c r="H22" t="s">
        <v>113</v>
      </c>
    </row>
    <row r="23" spans="1:8" x14ac:dyDescent="0.25">
      <c r="A23">
        <v>1022</v>
      </c>
      <c r="B23" t="s">
        <v>111</v>
      </c>
      <c r="C23" s="1">
        <v>46044</v>
      </c>
      <c r="D23" t="s">
        <v>6</v>
      </c>
      <c r="E23" t="s">
        <v>25</v>
      </c>
      <c r="F23" t="s">
        <v>48</v>
      </c>
      <c r="G23">
        <v>520</v>
      </c>
      <c r="H23" t="s">
        <v>110</v>
      </c>
    </row>
    <row r="24" spans="1:8" x14ac:dyDescent="0.25">
      <c r="A24">
        <v>1023</v>
      </c>
      <c r="B24" t="s">
        <v>41</v>
      </c>
      <c r="C24" s="1">
        <v>46045</v>
      </c>
      <c r="D24" t="s">
        <v>9</v>
      </c>
      <c r="E24" t="s">
        <v>28</v>
      </c>
      <c r="F24" t="s">
        <v>50</v>
      </c>
      <c r="G24">
        <v>640</v>
      </c>
      <c r="H24" t="s">
        <v>112</v>
      </c>
    </row>
    <row r="25" spans="1:8" x14ac:dyDescent="0.25">
      <c r="A25">
        <v>1024</v>
      </c>
      <c r="B25" t="s">
        <v>114</v>
      </c>
      <c r="C25" s="1">
        <v>46046</v>
      </c>
      <c r="D25" t="s">
        <v>12</v>
      </c>
      <c r="E25" t="s">
        <v>30</v>
      </c>
      <c r="F25" t="s">
        <v>52</v>
      </c>
      <c r="G25">
        <v>760</v>
      </c>
      <c r="H25" t="s">
        <v>113</v>
      </c>
    </row>
    <row r="26" spans="1:8" x14ac:dyDescent="0.25">
      <c r="A26">
        <v>1025</v>
      </c>
      <c r="B26" t="s">
        <v>115</v>
      </c>
      <c r="C26" s="1">
        <v>46047</v>
      </c>
      <c r="D26" t="s">
        <v>15</v>
      </c>
      <c r="E26" t="s">
        <v>32</v>
      </c>
      <c r="F26" t="s">
        <v>46</v>
      </c>
      <c r="G26">
        <v>880</v>
      </c>
      <c r="H26" t="s">
        <v>110</v>
      </c>
    </row>
    <row r="27" spans="1:8" x14ac:dyDescent="0.25">
      <c r="A27">
        <v>1026</v>
      </c>
      <c r="B27" t="s">
        <v>43</v>
      </c>
      <c r="C27" s="1">
        <v>46048</v>
      </c>
      <c r="D27" t="s">
        <v>3</v>
      </c>
      <c r="E27" t="s">
        <v>34</v>
      </c>
      <c r="F27" t="s">
        <v>48</v>
      </c>
      <c r="G27">
        <v>1000</v>
      </c>
      <c r="H27" t="s">
        <v>112</v>
      </c>
    </row>
    <row r="28" spans="1:8" x14ac:dyDescent="0.25">
      <c r="A28">
        <v>1027</v>
      </c>
      <c r="B28" t="s">
        <v>116</v>
      </c>
      <c r="C28" s="1">
        <v>46049</v>
      </c>
      <c r="D28" t="s">
        <v>6</v>
      </c>
      <c r="E28" t="s">
        <v>36</v>
      </c>
      <c r="F28" t="s">
        <v>50</v>
      </c>
      <c r="G28">
        <v>1120</v>
      </c>
      <c r="H28" t="s">
        <v>113</v>
      </c>
    </row>
    <row r="29" spans="1:8" x14ac:dyDescent="0.25">
      <c r="A29">
        <v>1028</v>
      </c>
      <c r="B29" t="s">
        <v>117</v>
      </c>
      <c r="C29" s="1">
        <v>46050</v>
      </c>
      <c r="D29" t="s">
        <v>9</v>
      </c>
      <c r="E29" t="s">
        <v>38</v>
      </c>
      <c r="F29" t="s">
        <v>52</v>
      </c>
      <c r="G29">
        <v>1240</v>
      </c>
      <c r="H29" t="s">
        <v>110</v>
      </c>
    </row>
    <row r="30" spans="1:8" x14ac:dyDescent="0.25">
      <c r="A30">
        <v>1029</v>
      </c>
      <c r="B30" t="s">
        <v>118</v>
      </c>
      <c r="C30" s="1">
        <v>46051</v>
      </c>
      <c r="D30" t="s">
        <v>12</v>
      </c>
      <c r="E30" t="s">
        <v>40</v>
      </c>
      <c r="F30" t="s">
        <v>46</v>
      </c>
      <c r="G30">
        <v>1360</v>
      </c>
      <c r="H30" t="s">
        <v>112</v>
      </c>
    </row>
    <row r="31" spans="1:8" x14ac:dyDescent="0.25">
      <c r="A31">
        <v>1030</v>
      </c>
      <c r="B31" t="s">
        <v>119</v>
      </c>
      <c r="C31" s="1">
        <v>46052</v>
      </c>
      <c r="D31" t="s">
        <v>15</v>
      </c>
      <c r="E31" t="s">
        <v>42</v>
      </c>
      <c r="F31" t="s">
        <v>48</v>
      </c>
      <c r="G31">
        <v>1480</v>
      </c>
      <c r="H31" t="s">
        <v>113</v>
      </c>
    </row>
    <row r="32" spans="1:8" x14ac:dyDescent="0.25">
      <c r="A32">
        <v>1031</v>
      </c>
      <c r="B32" t="s">
        <v>120</v>
      </c>
      <c r="C32" s="1">
        <v>46053</v>
      </c>
      <c r="D32" t="s">
        <v>3</v>
      </c>
      <c r="E32" t="s">
        <v>22</v>
      </c>
      <c r="F32" t="s">
        <v>50</v>
      </c>
      <c r="G32">
        <v>400</v>
      </c>
      <c r="H32" t="s">
        <v>110</v>
      </c>
    </row>
    <row r="33" spans="1:8" x14ac:dyDescent="0.25">
      <c r="A33">
        <v>1032</v>
      </c>
      <c r="B33" t="s">
        <v>121</v>
      </c>
      <c r="C33" s="1">
        <v>46054</v>
      </c>
      <c r="D33" t="s">
        <v>6</v>
      </c>
      <c r="E33" t="s">
        <v>25</v>
      </c>
      <c r="F33" t="s">
        <v>52</v>
      </c>
      <c r="G33">
        <v>520</v>
      </c>
      <c r="H33" t="s">
        <v>112</v>
      </c>
    </row>
    <row r="34" spans="1:8" x14ac:dyDescent="0.25">
      <c r="A34">
        <v>1033</v>
      </c>
      <c r="B34" t="s">
        <v>122</v>
      </c>
      <c r="C34" s="1">
        <v>46055</v>
      </c>
      <c r="D34" t="s">
        <v>9</v>
      </c>
      <c r="E34" t="s">
        <v>28</v>
      </c>
      <c r="F34" t="s">
        <v>46</v>
      </c>
      <c r="G34">
        <v>640</v>
      </c>
      <c r="H34" t="s">
        <v>113</v>
      </c>
    </row>
    <row r="35" spans="1:8" x14ac:dyDescent="0.25">
      <c r="A35">
        <v>1034</v>
      </c>
      <c r="B35" t="s">
        <v>123</v>
      </c>
      <c r="C35" s="1">
        <v>46056</v>
      </c>
      <c r="D35" t="s">
        <v>12</v>
      </c>
      <c r="E35" t="s">
        <v>30</v>
      </c>
      <c r="F35" t="s">
        <v>48</v>
      </c>
      <c r="G35">
        <v>760</v>
      </c>
      <c r="H35" t="s">
        <v>110</v>
      </c>
    </row>
    <row r="36" spans="1:8" x14ac:dyDescent="0.25">
      <c r="A36">
        <v>1035</v>
      </c>
      <c r="B36" t="s">
        <v>124</v>
      </c>
      <c r="C36" s="1">
        <v>46057</v>
      </c>
      <c r="D36" t="s">
        <v>15</v>
      </c>
      <c r="E36" t="s">
        <v>32</v>
      </c>
      <c r="F36" t="s">
        <v>50</v>
      </c>
      <c r="G36">
        <v>880</v>
      </c>
      <c r="H36" t="s">
        <v>112</v>
      </c>
    </row>
    <row r="37" spans="1:8" x14ac:dyDescent="0.25">
      <c r="A37">
        <v>1036</v>
      </c>
      <c r="B37" t="s">
        <v>125</v>
      </c>
      <c r="C37" s="1">
        <v>46058</v>
      </c>
      <c r="D37" t="s">
        <v>3</v>
      </c>
      <c r="E37" t="s">
        <v>34</v>
      </c>
      <c r="F37" t="s">
        <v>52</v>
      </c>
      <c r="G37">
        <v>1000</v>
      </c>
      <c r="H37" t="s">
        <v>113</v>
      </c>
    </row>
    <row r="38" spans="1:8" x14ac:dyDescent="0.25">
      <c r="A38">
        <v>1037</v>
      </c>
      <c r="B38" t="s">
        <v>126</v>
      </c>
      <c r="C38" s="1">
        <v>46059</v>
      </c>
      <c r="D38" t="s">
        <v>6</v>
      </c>
      <c r="E38" t="s">
        <v>36</v>
      </c>
      <c r="F38" t="s">
        <v>46</v>
      </c>
      <c r="G38">
        <v>1120</v>
      </c>
      <c r="H38" t="s">
        <v>110</v>
      </c>
    </row>
    <row r="39" spans="1:8" x14ac:dyDescent="0.25">
      <c r="A39">
        <v>1038</v>
      </c>
      <c r="B39" t="s">
        <v>127</v>
      </c>
      <c r="C39" s="1">
        <v>46060</v>
      </c>
      <c r="D39" t="s">
        <v>9</v>
      </c>
      <c r="E39" t="s">
        <v>38</v>
      </c>
      <c r="F39" t="s">
        <v>48</v>
      </c>
      <c r="G39">
        <v>1240</v>
      </c>
      <c r="H39" t="s">
        <v>112</v>
      </c>
    </row>
    <row r="40" spans="1:8" x14ac:dyDescent="0.25">
      <c r="A40">
        <v>1039</v>
      </c>
      <c r="B40" t="s">
        <v>128</v>
      </c>
      <c r="C40" s="1">
        <v>46061</v>
      </c>
      <c r="D40" t="s">
        <v>12</v>
      </c>
      <c r="E40" t="s">
        <v>40</v>
      </c>
      <c r="F40" t="s">
        <v>50</v>
      </c>
      <c r="G40">
        <v>1360</v>
      </c>
      <c r="H40" t="s">
        <v>113</v>
      </c>
    </row>
    <row r="41" spans="1:8" x14ac:dyDescent="0.25">
      <c r="A41">
        <v>1040</v>
      </c>
      <c r="B41" t="s">
        <v>129</v>
      </c>
      <c r="C41" s="1">
        <v>46062</v>
      </c>
      <c r="D41" t="s">
        <v>15</v>
      </c>
      <c r="E41" t="s">
        <v>42</v>
      </c>
      <c r="F41" t="s">
        <v>52</v>
      </c>
      <c r="G41">
        <v>1480</v>
      </c>
      <c r="H41" t="s">
        <v>110</v>
      </c>
    </row>
    <row r="42" spans="1:8" x14ac:dyDescent="0.25">
      <c r="A42">
        <v>1041</v>
      </c>
      <c r="B42" t="s">
        <v>109</v>
      </c>
      <c r="C42" s="1">
        <v>46063</v>
      </c>
      <c r="D42" t="s">
        <v>3</v>
      </c>
      <c r="E42" t="s">
        <v>22</v>
      </c>
      <c r="F42" t="s">
        <v>46</v>
      </c>
      <c r="G42">
        <v>400</v>
      </c>
      <c r="H42" t="s">
        <v>112</v>
      </c>
    </row>
    <row r="43" spans="1:8" x14ac:dyDescent="0.25">
      <c r="A43">
        <v>1042</v>
      </c>
      <c r="B43" t="s">
        <v>111</v>
      </c>
      <c r="C43" s="1">
        <v>46064</v>
      </c>
      <c r="D43" t="s">
        <v>6</v>
      </c>
      <c r="E43" t="s">
        <v>25</v>
      </c>
      <c r="F43" t="s">
        <v>48</v>
      </c>
      <c r="G43">
        <v>520</v>
      </c>
      <c r="H43" t="s">
        <v>113</v>
      </c>
    </row>
    <row r="44" spans="1:8" x14ac:dyDescent="0.25">
      <c r="A44">
        <v>1043</v>
      </c>
      <c r="B44" t="s">
        <v>41</v>
      </c>
      <c r="C44" s="1">
        <v>46065</v>
      </c>
      <c r="D44" t="s">
        <v>9</v>
      </c>
      <c r="E44" t="s">
        <v>28</v>
      </c>
      <c r="F44" t="s">
        <v>50</v>
      </c>
      <c r="G44">
        <v>640</v>
      </c>
      <c r="H44" t="s">
        <v>110</v>
      </c>
    </row>
    <row r="45" spans="1:8" x14ac:dyDescent="0.25">
      <c r="A45">
        <v>1044</v>
      </c>
      <c r="B45" t="s">
        <v>114</v>
      </c>
      <c r="C45" s="1">
        <v>46066</v>
      </c>
      <c r="D45" t="s">
        <v>12</v>
      </c>
      <c r="E45" t="s">
        <v>30</v>
      </c>
      <c r="F45" t="s">
        <v>52</v>
      </c>
      <c r="G45">
        <v>760</v>
      </c>
      <c r="H45" t="s">
        <v>112</v>
      </c>
    </row>
    <row r="46" spans="1:8" x14ac:dyDescent="0.25">
      <c r="A46">
        <v>1045</v>
      </c>
      <c r="B46" t="s">
        <v>115</v>
      </c>
      <c r="C46" s="1">
        <v>46067</v>
      </c>
      <c r="D46" t="s">
        <v>15</v>
      </c>
      <c r="E46" t="s">
        <v>32</v>
      </c>
      <c r="F46" t="s">
        <v>46</v>
      </c>
      <c r="G46">
        <v>880</v>
      </c>
      <c r="H46" t="s">
        <v>113</v>
      </c>
    </row>
    <row r="47" spans="1:8" x14ac:dyDescent="0.25">
      <c r="A47">
        <v>1046</v>
      </c>
      <c r="B47" t="s">
        <v>43</v>
      </c>
      <c r="C47" s="1">
        <v>46068</v>
      </c>
      <c r="D47" t="s">
        <v>3</v>
      </c>
      <c r="E47" t="s">
        <v>34</v>
      </c>
      <c r="F47" t="s">
        <v>48</v>
      </c>
      <c r="G47">
        <v>1000</v>
      </c>
      <c r="H47" t="s">
        <v>110</v>
      </c>
    </row>
    <row r="48" spans="1:8" x14ac:dyDescent="0.25">
      <c r="A48">
        <v>1047</v>
      </c>
      <c r="B48" t="s">
        <v>116</v>
      </c>
      <c r="C48" s="1">
        <v>46069</v>
      </c>
      <c r="D48" t="s">
        <v>6</v>
      </c>
      <c r="E48" t="s">
        <v>36</v>
      </c>
      <c r="F48" t="s">
        <v>50</v>
      </c>
      <c r="G48">
        <v>1120</v>
      </c>
      <c r="H48" t="s">
        <v>112</v>
      </c>
    </row>
    <row r="49" spans="1:8" x14ac:dyDescent="0.25">
      <c r="A49">
        <v>1048</v>
      </c>
      <c r="B49" t="s">
        <v>117</v>
      </c>
      <c r="C49" s="1">
        <v>46070</v>
      </c>
      <c r="D49" t="s">
        <v>9</v>
      </c>
      <c r="E49" t="s">
        <v>38</v>
      </c>
      <c r="F49" t="s">
        <v>52</v>
      </c>
      <c r="G49">
        <v>1240</v>
      </c>
      <c r="H49" t="s">
        <v>113</v>
      </c>
    </row>
    <row r="50" spans="1:8" x14ac:dyDescent="0.25">
      <c r="A50">
        <v>1049</v>
      </c>
      <c r="B50" t="s">
        <v>118</v>
      </c>
      <c r="C50" s="1">
        <v>46071</v>
      </c>
      <c r="D50" t="s">
        <v>12</v>
      </c>
      <c r="E50" t="s">
        <v>40</v>
      </c>
      <c r="F50" t="s">
        <v>46</v>
      </c>
      <c r="G50">
        <v>1360</v>
      </c>
      <c r="H50" t="s">
        <v>110</v>
      </c>
    </row>
    <row r="51" spans="1:8" x14ac:dyDescent="0.25">
      <c r="A51">
        <v>1050</v>
      </c>
      <c r="B51" t="s">
        <v>119</v>
      </c>
      <c r="C51" s="1">
        <v>46072</v>
      </c>
      <c r="D51" t="s">
        <v>15</v>
      </c>
      <c r="E51" t="s">
        <v>42</v>
      </c>
      <c r="F51" t="s">
        <v>48</v>
      </c>
      <c r="G51">
        <v>1480</v>
      </c>
      <c r="H51" t="s">
        <v>112</v>
      </c>
    </row>
    <row r="52" spans="1:8" x14ac:dyDescent="0.25">
      <c r="A52">
        <v>1051</v>
      </c>
      <c r="B52" t="s">
        <v>120</v>
      </c>
      <c r="C52" s="1">
        <v>46073</v>
      </c>
      <c r="D52" t="s">
        <v>3</v>
      </c>
      <c r="E52" t="s">
        <v>22</v>
      </c>
      <c r="F52" t="s">
        <v>50</v>
      </c>
      <c r="G52">
        <v>400</v>
      </c>
      <c r="H52" t="s">
        <v>113</v>
      </c>
    </row>
    <row r="53" spans="1:8" x14ac:dyDescent="0.25">
      <c r="A53">
        <v>1052</v>
      </c>
      <c r="B53" t="s">
        <v>121</v>
      </c>
      <c r="C53" s="1">
        <v>46074</v>
      </c>
      <c r="D53" t="s">
        <v>6</v>
      </c>
      <c r="E53" t="s">
        <v>25</v>
      </c>
      <c r="F53" t="s">
        <v>52</v>
      </c>
      <c r="G53">
        <v>520</v>
      </c>
      <c r="H53" t="s">
        <v>110</v>
      </c>
    </row>
    <row r="54" spans="1:8" x14ac:dyDescent="0.25">
      <c r="A54">
        <v>1053</v>
      </c>
      <c r="B54" t="s">
        <v>122</v>
      </c>
      <c r="C54" s="1">
        <v>46075</v>
      </c>
      <c r="D54" t="s">
        <v>9</v>
      </c>
      <c r="E54" t="s">
        <v>28</v>
      </c>
      <c r="F54" t="s">
        <v>46</v>
      </c>
      <c r="G54">
        <v>640</v>
      </c>
      <c r="H54" t="s">
        <v>112</v>
      </c>
    </row>
    <row r="55" spans="1:8" x14ac:dyDescent="0.25">
      <c r="A55">
        <v>1054</v>
      </c>
      <c r="B55" t="s">
        <v>123</v>
      </c>
      <c r="C55" s="1">
        <v>46076</v>
      </c>
      <c r="D55" t="s">
        <v>12</v>
      </c>
      <c r="E55" t="s">
        <v>30</v>
      </c>
      <c r="F55" t="s">
        <v>48</v>
      </c>
      <c r="G55">
        <v>760</v>
      </c>
      <c r="H55" t="s">
        <v>113</v>
      </c>
    </row>
    <row r="56" spans="1:8" x14ac:dyDescent="0.25">
      <c r="A56">
        <v>1055</v>
      </c>
      <c r="B56" t="s">
        <v>124</v>
      </c>
      <c r="C56" s="1">
        <v>46077</v>
      </c>
      <c r="D56" t="s">
        <v>15</v>
      </c>
      <c r="E56" t="s">
        <v>32</v>
      </c>
      <c r="F56" t="s">
        <v>50</v>
      </c>
      <c r="G56">
        <v>880</v>
      </c>
      <c r="H56" t="s">
        <v>110</v>
      </c>
    </row>
    <row r="57" spans="1:8" x14ac:dyDescent="0.25">
      <c r="A57">
        <v>1056</v>
      </c>
      <c r="B57" t="s">
        <v>125</v>
      </c>
      <c r="C57" s="1">
        <v>46078</v>
      </c>
      <c r="D57" t="s">
        <v>3</v>
      </c>
      <c r="E57" t="s">
        <v>34</v>
      </c>
      <c r="F57" t="s">
        <v>52</v>
      </c>
      <c r="G57">
        <v>1000</v>
      </c>
      <c r="H57" t="s">
        <v>112</v>
      </c>
    </row>
    <row r="58" spans="1:8" x14ac:dyDescent="0.25">
      <c r="A58">
        <v>1057</v>
      </c>
      <c r="B58" t="s">
        <v>126</v>
      </c>
      <c r="C58" s="1">
        <v>46079</v>
      </c>
      <c r="D58" t="s">
        <v>6</v>
      </c>
      <c r="E58" t="s">
        <v>36</v>
      </c>
      <c r="F58" t="s">
        <v>46</v>
      </c>
      <c r="G58">
        <v>1120</v>
      </c>
      <c r="H58" t="s">
        <v>113</v>
      </c>
    </row>
    <row r="59" spans="1:8" x14ac:dyDescent="0.25">
      <c r="A59">
        <v>1058</v>
      </c>
      <c r="B59" t="s">
        <v>127</v>
      </c>
      <c r="C59" s="1">
        <v>46080</v>
      </c>
      <c r="D59" t="s">
        <v>9</v>
      </c>
      <c r="E59" t="s">
        <v>38</v>
      </c>
      <c r="F59" t="s">
        <v>48</v>
      </c>
      <c r="G59">
        <v>1240</v>
      </c>
      <c r="H59" t="s">
        <v>110</v>
      </c>
    </row>
    <row r="60" spans="1:8" x14ac:dyDescent="0.25">
      <c r="A60">
        <v>1059</v>
      </c>
      <c r="B60" t="s">
        <v>128</v>
      </c>
      <c r="C60" s="1">
        <v>46081</v>
      </c>
      <c r="D60" t="s">
        <v>12</v>
      </c>
      <c r="E60" t="s">
        <v>40</v>
      </c>
      <c r="F60" t="s">
        <v>50</v>
      </c>
      <c r="G60">
        <v>1360</v>
      </c>
      <c r="H60" t="s">
        <v>112</v>
      </c>
    </row>
    <row r="61" spans="1:8" x14ac:dyDescent="0.25">
      <c r="A61">
        <v>1060</v>
      </c>
      <c r="B61" t="s">
        <v>129</v>
      </c>
      <c r="C61" s="1">
        <v>46082</v>
      </c>
      <c r="D61" t="s">
        <v>15</v>
      </c>
      <c r="E61" t="s">
        <v>42</v>
      </c>
      <c r="F61" t="s">
        <v>52</v>
      </c>
      <c r="G61">
        <v>1480</v>
      </c>
      <c r="H61" t="s">
        <v>113</v>
      </c>
    </row>
    <row r="62" spans="1:8" x14ac:dyDescent="0.25">
      <c r="A62">
        <v>1061</v>
      </c>
      <c r="B62" t="s">
        <v>109</v>
      </c>
      <c r="C62" s="1">
        <v>46083</v>
      </c>
      <c r="D62" t="s">
        <v>3</v>
      </c>
      <c r="E62" t="s">
        <v>22</v>
      </c>
      <c r="F62" t="s">
        <v>46</v>
      </c>
      <c r="G62">
        <v>400</v>
      </c>
      <c r="H62" t="s">
        <v>110</v>
      </c>
    </row>
    <row r="63" spans="1:8" x14ac:dyDescent="0.25">
      <c r="A63">
        <v>1062</v>
      </c>
      <c r="B63" t="s">
        <v>111</v>
      </c>
      <c r="C63" s="1">
        <v>46084</v>
      </c>
      <c r="D63" t="s">
        <v>6</v>
      </c>
      <c r="E63" t="s">
        <v>25</v>
      </c>
      <c r="F63" t="s">
        <v>48</v>
      </c>
      <c r="G63">
        <v>520</v>
      </c>
      <c r="H63" t="s">
        <v>112</v>
      </c>
    </row>
    <row r="64" spans="1:8" x14ac:dyDescent="0.25">
      <c r="A64">
        <v>1063</v>
      </c>
      <c r="B64" t="s">
        <v>41</v>
      </c>
      <c r="C64" s="1">
        <v>46085</v>
      </c>
      <c r="D64" t="s">
        <v>9</v>
      </c>
      <c r="E64" t="s">
        <v>28</v>
      </c>
      <c r="F64" t="s">
        <v>50</v>
      </c>
      <c r="G64">
        <v>640</v>
      </c>
      <c r="H64" t="s">
        <v>113</v>
      </c>
    </row>
    <row r="65" spans="1:8" x14ac:dyDescent="0.25">
      <c r="A65">
        <v>1064</v>
      </c>
      <c r="B65" t="s">
        <v>114</v>
      </c>
      <c r="C65" s="1">
        <v>46086</v>
      </c>
      <c r="D65" t="s">
        <v>12</v>
      </c>
      <c r="E65" t="s">
        <v>30</v>
      </c>
      <c r="F65" t="s">
        <v>52</v>
      </c>
      <c r="G65">
        <v>760</v>
      </c>
      <c r="H65" t="s">
        <v>110</v>
      </c>
    </row>
    <row r="66" spans="1:8" x14ac:dyDescent="0.25">
      <c r="A66">
        <v>1065</v>
      </c>
      <c r="B66" t="s">
        <v>115</v>
      </c>
      <c r="C66" s="1">
        <v>46087</v>
      </c>
      <c r="D66" t="s">
        <v>15</v>
      </c>
      <c r="E66" t="s">
        <v>32</v>
      </c>
      <c r="F66" t="s">
        <v>46</v>
      </c>
      <c r="G66">
        <v>880</v>
      </c>
      <c r="H66" t="s">
        <v>112</v>
      </c>
    </row>
    <row r="67" spans="1:8" x14ac:dyDescent="0.25">
      <c r="A67">
        <v>1066</v>
      </c>
      <c r="B67" t="s">
        <v>43</v>
      </c>
      <c r="C67" s="1">
        <v>46088</v>
      </c>
      <c r="D67" t="s">
        <v>3</v>
      </c>
      <c r="E67" t="s">
        <v>34</v>
      </c>
      <c r="F67" t="s">
        <v>48</v>
      </c>
      <c r="G67">
        <v>1000</v>
      </c>
      <c r="H67" t="s">
        <v>113</v>
      </c>
    </row>
    <row r="68" spans="1:8" x14ac:dyDescent="0.25">
      <c r="A68">
        <v>1067</v>
      </c>
      <c r="B68" t="s">
        <v>116</v>
      </c>
      <c r="C68" s="1">
        <v>46089</v>
      </c>
      <c r="D68" t="s">
        <v>6</v>
      </c>
      <c r="E68" t="s">
        <v>36</v>
      </c>
      <c r="F68" t="s">
        <v>50</v>
      </c>
      <c r="G68">
        <v>1120</v>
      </c>
      <c r="H68" t="s">
        <v>110</v>
      </c>
    </row>
    <row r="69" spans="1:8" x14ac:dyDescent="0.25">
      <c r="A69">
        <v>1068</v>
      </c>
      <c r="B69" t="s">
        <v>117</v>
      </c>
      <c r="C69" s="1">
        <v>46090</v>
      </c>
      <c r="D69" t="s">
        <v>9</v>
      </c>
      <c r="E69" t="s">
        <v>38</v>
      </c>
      <c r="F69" t="s">
        <v>52</v>
      </c>
      <c r="G69">
        <v>1240</v>
      </c>
      <c r="H69" t="s">
        <v>112</v>
      </c>
    </row>
    <row r="70" spans="1:8" x14ac:dyDescent="0.25">
      <c r="A70">
        <v>1069</v>
      </c>
      <c r="B70" t="s">
        <v>118</v>
      </c>
      <c r="C70" s="1">
        <v>46091</v>
      </c>
      <c r="D70" t="s">
        <v>12</v>
      </c>
      <c r="E70" t="s">
        <v>40</v>
      </c>
      <c r="F70" t="s">
        <v>46</v>
      </c>
      <c r="G70">
        <v>1360</v>
      </c>
      <c r="H70" t="s">
        <v>113</v>
      </c>
    </row>
    <row r="71" spans="1:8" x14ac:dyDescent="0.25">
      <c r="A71">
        <v>1070</v>
      </c>
      <c r="B71" t="s">
        <v>119</v>
      </c>
      <c r="C71" s="1">
        <v>46092</v>
      </c>
      <c r="D71" t="s">
        <v>15</v>
      </c>
      <c r="E71" t="s">
        <v>42</v>
      </c>
      <c r="F71" t="s">
        <v>48</v>
      </c>
      <c r="G71">
        <v>1480</v>
      </c>
      <c r="H71" t="s">
        <v>110</v>
      </c>
    </row>
    <row r="72" spans="1:8" x14ac:dyDescent="0.25">
      <c r="A72">
        <v>1071</v>
      </c>
      <c r="B72" t="s">
        <v>120</v>
      </c>
      <c r="C72" s="1">
        <v>46093</v>
      </c>
      <c r="D72" t="s">
        <v>3</v>
      </c>
      <c r="E72" t="s">
        <v>22</v>
      </c>
      <c r="F72" t="s">
        <v>50</v>
      </c>
      <c r="G72">
        <v>400</v>
      </c>
      <c r="H72" t="s">
        <v>112</v>
      </c>
    </row>
    <row r="73" spans="1:8" x14ac:dyDescent="0.25">
      <c r="A73">
        <v>1072</v>
      </c>
      <c r="B73" t="s">
        <v>121</v>
      </c>
      <c r="C73" s="1">
        <v>46094</v>
      </c>
      <c r="D73" t="s">
        <v>6</v>
      </c>
      <c r="E73" t="s">
        <v>25</v>
      </c>
      <c r="F73" t="s">
        <v>52</v>
      </c>
      <c r="G73">
        <v>520</v>
      </c>
      <c r="H73" t="s">
        <v>113</v>
      </c>
    </row>
    <row r="74" spans="1:8" x14ac:dyDescent="0.25">
      <c r="A74">
        <v>1073</v>
      </c>
      <c r="B74" t="s">
        <v>122</v>
      </c>
      <c r="C74" s="1">
        <v>46095</v>
      </c>
      <c r="D74" t="s">
        <v>9</v>
      </c>
      <c r="E74" t="s">
        <v>28</v>
      </c>
      <c r="F74" t="s">
        <v>46</v>
      </c>
      <c r="G74">
        <v>640</v>
      </c>
      <c r="H74" t="s">
        <v>110</v>
      </c>
    </row>
    <row r="75" spans="1:8" x14ac:dyDescent="0.25">
      <c r="A75">
        <v>1074</v>
      </c>
      <c r="B75" t="s">
        <v>123</v>
      </c>
      <c r="C75" s="1">
        <v>46096</v>
      </c>
      <c r="D75" t="s">
        <v>12</v>
      </c>
      <c r="E75" t="s">
        <v>30</v>
      </c>
      <c r="F75" t="s">
        <v>48</v>
      </c>
      <c r="G75">
        <v>760</v>
      </c>
      <c r="H75" t="s">
        <v>112</v>
      </c>
    </row>
    <row r="76" spans="1:8" x14ac:dyDescent="0.25">
      <c r="A76">
        <v>1075</v>
      </c>
      <c r="B76" t="s">
        <v>124</v>
      </c>
      <c r="C76" s="1">
        <v>46097</v>
      </c>
      <c r="D76" t="s">
        <v>15</v>
      </c>
      <c r="E76" t="s">
        <v>32</v>
      </c>
      <c r="F76" t="s">
        <v>50</v>
      </c>
      <c r="G76">
        <v>880</v>
      </c>
      <c r="H76" t="s">
        <v>113</v>
      </c>
    </row>
    <row r="77" spans="1:8" x14ac:dyDescent="0.25">
      <c r="A77">
        <v>1076</v>
      </c>
      <c r="B77" t="s">
        <v>125</v>
      </c>
      <c r="C77" s="1">
        <v>46098</v>
      </c>
      <c r="D77" t="s">
        <v>3</v>
      </c>
      <c r="E77" t="s">
        <v>34</v>
      </c>
      <c r="F77" t="s">
        <v>52</v>
      </c>
      <c r="G77">
        <v>1000</v>
      </c>
      <c r="H77" t="s">
        <v>110</v>
      </c>
    </row>
    <row r="78" spans="1:8" x14ac:dyDescent="0.25">
      <c r="A78">
        <v>1077</v>
      </c>
      <c r="B78" t="s">
        <v>126</v>
      </c>
      <c r="C78" s="1">
        <v>46099</v>
      </c>
      <c r="D78" t="s">
        <v>6</v>
      </c>
      <c r="E78" t="s">
        <v>36</v>
      </c>
      <c r="F78" t="s">
        <v>46</v>
      </c>
      <c r="G78">
        <v>1120</v>
      </c>
      <c r="H78" t="s">
        <v>112</v>
      </c>
    </row>
    <row r="79" spans="1:8" x14ac:dyDescent="0.25">
      <c r="A79">
        <v>1078</v>
      </c>
      <c r="B79" t="s">
        <v>127</v>
      </c>
      <c r="C79" s="1">
        <v>46100</v>
      </c>
      <c r="D79" t="s">
        <v>9</v>
      </c>
      <c r="E79" t="s">
        <v>38</v>
      </c>
      <c r="F79" t="s">
        <v>48</v>
      </c>
      <c r="G79">
        <v>1240</v>
      </c>
      <c r="H79" t="s">
        <v>113</v>
      </c>
    </row>
    <row r="80" spans="1:8" x14ac:dyDescent="0.25">
      <c r="A80">
        <v>1079</v>
      </c>
      <c r="B80" t="s">
        <v>128</v>
      </c>
      <c r="C80" s="1">
        <v>46101</v>
      </c>
      <c r="D80" t="s">
        <v>12</v>
      </c>
      <c r="E80" t="s">
        <v>40</v>
      </c>
      <c r="F80" t="s">
        <v>50</v>
      </c>
      <c r="G80">
        <v>1360</v>
      </c>
      <c r="H80" t="s">
        <v>110</v>
      </c>
    </row>
    <row r="81" spans="1:8" x14ac:dyDescent="0.25">
      <c r="A81">
        <v>1080</v>
      </c>
      <c r="B81" t="s">
        <v>129</v>
      </c>
      <c r="C81" s="1">
        <v>46102</v>
      </c>
      <c r="D81" t="s">
        <v>15</v>
      </c>
      <c r="E81" t="s">
        <v>42</v>
      </c>
      <c r="F81" t="s">
        <v>52</v>
      </c>
      <c r="G81">
        <v>1480</v>
      </c>
      <c r="H81" t="s">
        <v>112</v>
      </c>
    </row>
    <row r="82" spans="1:8" x14ac:dyDescent="0.25">
      <c r="A82">
        <v>1081</v>
      </c>
      <c r="B82" t="s">
        <v>109</v>
      </c>
      <c r="C82" s="1">
        <v>46103</v>
      </c>
      <c r="D82" t="s">
        <v>3</v>
      </c>
      <c r="E82" t="s">
        <v>22</v>
      </c>
      <c r="F82" t="s">
        <v>46</v>
      </c>
      <c r="G82">
        <v>400</v>
      </c>
      <c r="H82" t="s">
        <v>113</v>
      </c>
    </row>
    <row r="83" spans="1:8" x14ac:dyDescent="0.25">
      <c r="A83">
        <v>1082</v>
      </c>
      <c r="B83" t="s">
        <v>111</v>
      </c>
      <c r="C83" s="1">
        <v>46104</v>
      </c>
      <c r="D83" t="s">
        <v>6</v>
      </c>
      <c r="E83" t="s">
        <v>25</v>
      </c>
      <c r="F83" t="s">
        <v>48</v>
      </c>
      <c r="G83">
        <v>520</v>
      </c>
      <c r="H83" t="s">
        <v>110</v>
      </c>
    </row>
    <row r="84" spans="1:8" x14ac:dyDescent="0.25">
      <c r="A84">
        <v>1083</v>
      </c>
      <c r="B84" t="s">
        <v>41</v>
      </c>
      <c r="C84" s="1">
        <v>46105</v>
      </c>
      <c r="D84" t="s">
        <v>9</v>
      </c>
      <c r="E84" t="s">
        <v>28</v>
      </c>
      <c r="F84" t="s">
        <v>50</v>
      </c>
      <c r="G84">
        <v>640</v>
      </c>
      <c r="H84" t="s">
        <v>112</v>
      </c>
    </row>
    <row r="85" spans="1:8" x14ac:dyDescent="0.25">
      <c r="A85">
        <v>1084</v>
      </c>
      <c r="B85" t="s">
        <v>114</v>
      </c>
      <c r="C85" s="1">
        <v>46106</v>
      </c>
      <c r="D85" t="s">
        <v>12</v>
      </c>
      <c r="E85" t="s">
        <v>30</v>
      </c>
      <c r="F85" t="s">
        <v>52</v>
      </c>
      <c r="G85">
        <v>760</v>
      </c>
      <c r="H85" t="s">
        <v>113</v>
      </c>
    </row>
    <row r="86" spans="1:8" x14ac:dyDescent="0.25">
      <c r="A86">
        <v>1085</v>
      </c>
      <c r="B86" t="s">
        <v>115</v>
      </c>
      <c r="C86" s="1">
        <v>46107</v>
      </c>
      <c r="D86" t="s">
        <v>15</v>
      </c>
      <c r="E86" t="s">
        <v>32</v>
      </c>
      <c r="F86" t="s">
        <v>46</v>
      </c>
      <c r="G86">
        <v>880</v>
      </c>
      <c r="H86" t="s">
        <v>110</v>
      </c>
    </row>
    <row r="87" spans="1:8" x14ac:dyDescent="0.25">
      <c r="A87">
        <v>1086</v>
      </c>
      <c r="B87" t="s">
        <v>43</v>
      </c>
      <c r="C87" s="1">
        <v>46108</v>
      </c>
      <c r="D87" t="s">
        <v>3</v>
      </c>
      <c r="E87" t="s">
        <v>34</v>
      </c>
      <c r="F87" t="s">
        <v>48</v>
      </c>
      <c r="G87">
        <v>1000</v>
      </c>
      <c r="H87" t="s">
        <v>112</v>
      </c>
    </row>
    <row r="88" spans="1:8" x14ac:dyDescent="0.25">
      <c r="A88">
        <v>1087</v>
      </c>
      <c r="B88" t="s">
        <v>116</v>
      </c>
      <c r="C88" s="1">
        <v>46109</v>
      </c>
      <c r="D88" t="s">
        <v>6</v>
      </c>
      <c r="E88" t="s">
        <v>36</v>
      </c>
      <c r="F88" t="s">
        <v>50</v>
      </c>
      <c r="G88">
        <v>1120</v>
      </c>
      <c r="H88" t="s">
        <v>113</v>
      </c>
    </row>
    <row r="89" spans="1:8" x14ac:dyDescent="0.25">
      <c r="A89">
        <v>1088</v>
      </c>
      <c r="B89" t="s">
        <v>117</v>
      </c>
      <c r="C89" s="1">
        <v>46110</v>
      </c>
      <c r="D89" t="s">
        <v>9</v>
      </c>
      <c r="E89" t="s">
        <v>38</v>
      </c>
      <c r="F89" t="s">
        <v>52</v>
      </c>
      <c r="G89">
        <v>1240</v>
      </c>
      <c r="H89" t="s">
        <v>110</v>
      </c>
    </row>
    <row r="90" spans="1:8" x14ac:dyDescent="0.25">
      <c r="A90">
        <v>1089</v>
      </c>
      <c r="B90" t="s">
        <v>118</v>
      </c>
      <c r="C90" s="1">
        <v>46111</v>
      </c>
      <c r="D90" t="s">
        <v>12</v>
      </c>
      <c r="E90" t="s">
        <v>40</v>
      </c>
      <c r="F90" t="s">
        <v>46</v>
      </c>
      <c r="G90">
        <v>1360</v>
      </c>
      <c r="H90" t="s">
        <v>112</v>
      </c>
    </row>
    <row r="91" spans="1:8" x14ac:dyDescent="0.25">
      <c r="A91">
        <v>1090</v>
      </c>
      <c r="B91" t="s">
        <v>119</v>
      </c>
      <c r="C91" s="1">
        <v>46112</v>
      </c>
      <c r="D91" t="s">
        <v>15</v>
      </c>
      <c r="E91" t="s">
        <v>42</v>
      </c>
      <c r="F91" t="s">
        <v>48</v>
      </c>
      <c r="G91">
        <v>1480</v>
      </c>
      <c r="H91" t="s">
        <v>113</v>
      </c>
    </row>
    <row r="92" spans="1:8" x14ac:dyDescent="0.25">
      <c r="A92">
        <v>1091</v>
      </c>
      <c r="B92" t="s">
        <v>120</v>
      </c>
      <c r="C92" s="1">
        <v>46023</v>
      </c>
      <c r="D92" t="s">
        <v>3</v>
      </c>
      <c r="E92" t="s">
        <v>22</v>
      </c>
      <c r="F92" t="s">
        <v>50</v>
      </c>
      <c r="G92">
        <v>400</v>
      </c>
      <c r="H92" t="s">
        <v>110</v>
      </c>
    </row>
    <row r="93" spans="1:8" x14ac:dyDescent="0.25">
      <c r="A93">
        <v>1092</v>
      </c>
      <c r="B93" t="s">
        <v>121</v>
      </c>
      <c r="C93" s="1">
        <v>46024</v>
      </c>
      <c r="D93" t="s">
        <v>6</v>
      </c>
      <c r="E93" t="s">
        <v>25</v>
      </c>
      <c r="F93" t="s">
        <v>52</v>
      </c>
      <c r="G93">
        <v>520</v>
      </c>
      <c r="H93" t="s">
        <v>112</v>
      </c>
    </row>
    <row r="94" spans="1:8" x14ac:dyDescent="0.25">
      <c r="A94">
        <v>1093</v>
      </c>
      <c r="B94" t="s">
        <v>122</v>
      </c>
      <c r="C94" s="1">
        <v>46025</v>
      </c>
      <c r="D94" t="s">
        <v>9</v>
      </c>
      <c r="E94" t="s">
        <v>28</v>
      </c>
      <c r="F94" t="s">
        <v>46</v>
      </c>
      <c r="G94">
        <v>640</v>
      </c>
      <c r="H94" t="s">
        <v>113</v>
      </c>
    </row>
    <row r="95" spans="1:8" x14ac:dyDescent="0.25">
      <c r="A95">
        <v>1094</v>
      </c>
      <c r="B95" t="s">
        <v>123</v>
      </c>
      <c r="C95" s="1">
        <v>46026</v>
      </c>
      <c r="D95" t="s">
        <v>12</v>
      </c>
      <c r="E95" t="s">
        <v>30</v>
      </c>
      <c r="F95" t="s">
        <v>48</v>
      </c>
      <c r="G95">
        <v>760</v>
      </c>
      <c r="H95" t="s">
        <v>110</v>
      </c>
    </row>
    <row r="96" spans="1:8" x14ac:dyDescent="0.25">
      <c r="A96">
        <v>1095</v>
      </c>
      <c r="B96" t="s">
        <v>124</v>
      </c>
      <c r="C96" s="1">
        <v>46027</v>
      </c>
      <c r="D96" t="s">
        <v>15</v>
      </c>
      <c r="E96" t="s">
        <v>32</v>
      </c>
      <c r="F96" t="s">
        <v>50</v>
      </c>
      <c r="G96">
        <v>880</v>
      </c>
      <c r="H96" t="s">
        <v>112</v>
      </c>
    </row>
    <row r="97" spans="1:8" x14ac:dyDescent="0.25">
      <c r="A97">
        <v>1096</v>
      </c>
      <c r="B97" t="s">
        <v>125</v>
      </c>
      <c r="C97" s="1">
        <v>46028</v>
      </c>
      <c r="D97" t="s">
        <v>3</v>
      </c>
      <c r="E97" t="s">
        <v>34</v>
      </c>
      <c r="F97" t="s">
        <v>52</v>
      </c>
      <c r="G97">
        <v>1000</v>
      </c>
      <c r="H97" t="s">
        <v>113</v>
      </c>
    </row>
    <row r="98" spans="1:8" x14ac:dyDescent="0.25">
      <c r="A98">
        <v>1097</v>
      </c>
      <c r="B98" t="s">
        <v>126</v>
      </c>
      <c r="C98" s="1">
        <v>46029</v>
      </c>
      <c r="D98" t="s">
        <v>6</v>
      </c>
      <c r="E98" t="s">
        <v>36</v>
      </c>
      <c r="F98" t="s">
        <v>46</v>
      </c>
      <c r="G98">
        <v>1120</v>
      </c>
      <c r="H98" t="s">
        <v>110</v>
      </c>
    </row>
    <row r="99" spans="1:8" x14ac:dyDescent="0.25">
      <c r="A99">
        <v>1098</v>
      </c>
      <c r="B99" t="s">
        <v>127</v>
      </c>
      <c r="C99" s="1">
        <v>46030</v>
      </c>
      <c r="D99" t="s">
        <v>9</v>
      </c>
      <c r="E99" t="s">
        <v>38</v>
      </c>
      <c r="F99" t="s">
        <v>48</v>
      </c>
      <c r="G99">
        <v>1240</v>
      </c>
      <c r="H99" t="s">
        <v>112</v>
      </c>
    </row>
    <row r="100" spans="1:8" x14ac:dyDescent="0.25">
      <c r="A100">
        <v>1099</v>
      </c>
      <c r="B100" t="s">
        <v>128</v>
      </c>
      <c r="C100" s="1">
        <v>46031</v>
      </c>
      <c r="D100" t="s">
        <v>12</v>
      </c>
      <c r="E100" t="s">
        <v>40</v>
      </c>
      <c r="F100" t="s">
        <v>50</v>
      </c>
      <c r="G100">
        <v>1360</v>
      </c>
      <c r="H100" t="s">
        <v>113</v>
      </c>
    </row>
    <row r="101" spans="1:8" x14ac:dyDescent="0.25">
      <c r="A101">
        <v>1100</v>
      </c>
      <c r="B101" t="s">
        <v>129</v>
      </c>
      <c r="C101" s="1">
        <v>46032</v>
      </c>
      <c r="D101" t="s">
        <v>15</v>
      </c>
      <c r="E101" t="s">
        <v>42</v>
      </c>
      <c r="F101" t="s">
        <v>52</v>
      </c>
      <c r="G101">
        <v>1480</v>
      </c>
      <c r="H101" t="s">
        <v>110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D11"/>
  <sheetViews>
    <sheetView workbookViewId="0">
      <selection activeCell="G16" sqref="G16"/>
    </sheetView>
  </sheetViews>
  <sheetFormatPr defaultRowHeight="15" x14ac:dyDescent="0.25"/>
  <cols>
    <col min="1" max="1" width="12.140625" customWidth="1"/>
    <col min="2" max="2" width="15.5703125" customWidth="1"/>
    <col min="3" max="3" width="18.85546875" customWidth="1"/>
    <col min="4" max="4" width="11.42578125" customWidth="1"/>
  </cols>
  <sheetData>
    <row r="1" spans="1:4" x14ac:dyDescent="0.25">
      <c r="A1" t="s">
        <v>18</v>
      </c>
      <c r="B1" t="s">
        <v>19</v>
      </c>
      <c r="C1" t="s">
        <v>20</v>
      </c>
      <c r="D1" t="s">
        <v>21</v>
      </c>
    </row>
    <row r="2" spans="1:4" x14ac:dyDescent="0.25">
      <c r="A2" t="s">
        <v>22</v>
      </c>
      <c r="B2" t="s">
        <v>23</v>
      </c>
      <c r="C2">
        <v>5</v>
      </c>
      <c r="D2" t="s">
        <v>24</v>
      </c>
    </row>
    <row r="3" spans="1:4" x14ac:dyDescent="0.25">
      <c r="A3" t="s">
        <v>25</v>
      </c>
      <c r="B3" t="s">
        <v>26</v>
      </c>
      <c r="C3">
        <v>3</v>
      </c>
      <c r="D3" t="s">
        <v>27</v>
      </c>
    </row>
    <row r="4" spans="1:4" x14ac:dyDescent="0.25">
      <c r="A4" t="s">
        <v>28</v>
      </c>
      <c r="B4" t="s">
        <v>29</v>
      </c>
      <c r="C4">
        <v>6</v>
      </c>
      <c r="D4" t="s">
        <v>24</v>
      </c>
    </row>
    <row r="5" spans="1:4" x14ac:dyDescent="0.25">
      <c r="A5" t="s">
        <v>30</v>
      </c>
      <c r="B5" t="s">
        <v>31</v>
      </c>
      <c r="C5">
        <v>2</v>
      </c>
      <c r="D5" t="s">
        <v>27</v>
      </c>
    </row>
    <row r="6" spans="1:4" x14ac:dyDescent="0.25">
      <c r="A6" t="s">
        <v>32</v>
      </c>
      <c r="B6" t="s">
        <v>33</v>
      </c>
      <c r="C6">
        <v>4</v>
      </c>
      <c r="D6" t="s">
        <v>24</v>
      </c>
    </row>
    <row r="7" spans="1:4" x14ac:dyDescent="0.25">
      <c r="A7" t="s">
        <v>34</v>
      </c>
      <c r="B7" t="s">
        <v>35</v>
      </c>
      <c r="C7">
        <v>1</v>
      </c>
      <c r="D7" t="s">
        <v>27</v>
      </c>
    </row>
    <row r="8" spans="1:4" x14ac:dyDescent="0.25">
      <c r="A8" t="s">
        <v>36</v>
      </c>
      <c r="B8" t="s">
        <v>37</v>
      </c>
      <c r="C8">
        <v>7</v>
      </c>
      <c r="D8" t="s">
        <v>24</v>
      </c>
    </row>
    <row r="9" spans="1:4" x14ac:dyDescent="0.25">
      <c r="A9" t="s">
        <v>38</v>
      </c>
      <c r="B9" t="s">
        <v>39</v>
      </c>
      <c r="C9">
        <v>3</v>
      </c>
      <c r="D9" t="s">
        <v>27</v>
      </c>
    </row>
    <row r="10" spans="1:4" x14ac:dyDescent="0.25">
      <c r="A10" t="s">
        <v>40</v>
      </c>
      <c r="B10" t="s">
        <v>41</v>
      </c>
      <c r="C10">
        <v>5</v>
      </c>
      <c r="D10" t="s">
        <v>24</v>
      </c>
    </row>
    <row r="11" spans="1:4" x14ac:dyDescent="0.25">
      <c r="A11" t="s">
        <v>42</v>
      </c>
      <c r="B11" t="s">
        <v>43</v>
      </c>
      <c r="C11">
        <v>2</v>
      </c>
      <c r="D11" t="s">
        <v>27</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B5"/>
  <sheetViews>
    <sheetView workbookViewId="0">
      <selection sqref="A1:B5"/>
    </sheetView>
  </sheetViews>
  <sheetFormatPr defaultRowHeight="15" x14ac:dyDescent="0.25"/>
  <cols>
    <col min="1" max="1" width="13.85546875" customWidth="1"/>
    <col min="2" max="2" width="19.140625" customWidth="1"/>
  </cols>
  <sheetData>
    <row r="1" spans="1:2" x14ac:dyDescent="0.25">
      <c r="A1" t="s">
        <v>44</v>
      </c>
      <c r="B1" t="s">
        <v>45</v>
      </c>
    </row>
    <row r="2" spans="1:2" x14ac:dyDescent="0.25">
      <c r="A2" t="s">
        <v>46</v>
      </c>
      <c r="B2" t="s">
        <v>47</v>
      </c>
    </row>
    <row r="3" spans="1:2" x14ac:dyDescent="0.25">
      <c r="A3" t="s">
        <v>48</v>
      </c>
      <c r="B3" t="s">
        <v>49</v>
      </c>
    </row>
    <row r="4" spans="1:2" x14ac:dyDescent="0.25">
      <c r="A4" t="s">
        <v>50</v>
      </c>
      <c r="B4" t="s">
        <v>51</v>
      </c>
    </row>
    <row r="5" spans="1:2" x14ac:dyDescent="0.25">
      <c r="A5" t="s">
        <v>52</v>
      </c>
      <c r="B5" t="s">
        <v>53</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D21"/>
  <sheetViews>
    <sheetView workbookViewId="0">
      <selection activeCell="G10" sqref="G10"/>
    </sheetView>
  </sheetViews>
  <sheetFormatPr defaultRowHeight="15" x14ac:dyDescent="0.25"/>
  <cols>
    <col min="1" max="1" width="10.140625" customWidth="1"/>
    <col min="2" max="2" width="13.5703125" customWidth="1"/>
    <col min="3" max="3" width="11" customWidth="1"/>
  </cols>
  <sheetData>
    <row r="1" spans="1:4" x14ac:dyDescent="0.25">
      <c r="A1" t="s">
        <v>54</v>
      </c>
      <c r="B1" t="s">
        <v>55</v>
      </c>
      <c r="C1" t="s">
        <v>56</v>
      </c>
      <c r="D1" t="s">
        <v>57</v>
      </c>
    </row>
    <row r="2" spans="1:4" x14ac:dyDescent="0.25">
      <c r="A2" t="s">
        <v>58</v>
      </c>
      <c r="B2" t="s">
        <v>59</v>
      </c>
      <c r="C2" t="s">
        <v>60</v>
      </c>
      <c r="D2">
        <v>250</v>
      </c>
    </row>
    <row r="3" spans="1:4" x14ac:dyDescent="0.25">
      <c r="A3" t="s">
        <v>61</v>
      </c>
      <c r="B3" t="s">
        <v>62</v>
      </c>
      <c r="C3" t="s">
        <v>60</v>
      </c>
      <c r="D3">
        <v>350</v>
      </c>
    </row>
    <row r="4" spans="1:4" x14ac:dyDescent="0.25">
      <c r="A4" t="s">
        <v>63</v>
      </c>
      <c r="B4" t="s">
        <v>64</v>
      </c>
      <c r="C4" t="s">
        <v>60</v>
      </c>
      <c r="D4">
        <v>280</v>
      </c>
    </row>
    <row r="5" spans="1:4" x14ac:dyDescent="0.25">
      <c r="A5" t="s">
        <v>65</v>
      </c>
      <c r="B5" t="s">
        <v>66</v>
      </c>
      <c r="C5" t="s">
        <v>67</v>
      </c>
      <c r="D5">
        <v>450</v>
      </c>
    </row>
    <row r="6" spans="1:4" x14ac:dyDescent="0.25">
      <c r="A6" t="s">
        <v>68</v>
      </c>
      <c r="B6" t="s">
        <v>69</v>
      </c>
      <c r="C6" t="s">
        <v>67</v>
      </c>
      <c r="D6">
        <v>180</v>
      </c>
    </row>
    <row r="7" spans="1:4" x14ac:dyDescent="0.25">
      <c r="A7" t="s">
        <v>70</v>
      </c>
      <c r="B7" t="s">
        <v>71</v>
      </c>
      <c r="C7" t="s">
        <v>72</v>
      </c>
      <c r="D7">
        <v>120</v>
      </c>
    </row>
    <row r="8" spans="1:4" x14ac:dyDescent="0.25">
      <c r="A8" t="s">
        <v>73</v>
      </c>
      <c r="B8" t="s">
        <v>74</v>
      </c>
      <c r="C8" t="s">
        <v>67</v>
      </c>
      <c r="D8">
        <v>220</v>
      </c>
    </row>
    <row r="9" spans="1:4" x14ac:dyDescent="0.25">
      <c r="A9" t="s">
        <v>75</v>
      </c>
      <c r="B9" t="s">
        <v>76</v>
      </c>
      <c r="C9" t="s">
        <v>60</v>
      </c>
      <c r="D9">
        <v>240</v>
      </c>
    </row>
    <row r="10" spans="1:4" x14ac:dyDescent="0.25">
      <c r="A10" t="s">
        <v>77</v>
      </c>
      <c r="B10" t="s">
        <v>78</v>
      </c>
      <c r="C10" t="s">
        <v>79</v>
      </c>
      <c r="D10">
        <v>150</v>
      </c>
    </row>
    <row r="11" spans="1:4" x14ac:dyDescent="0.25">
      <c r="A11" t="s">
        <v>80</v>
      </c>
      <c r="B11" t="s">
        <v>81</v>
      </c>
      <c r="C11" t="s">
        <v>79</v>
      </c>
      <c r="D11">
        <v>180</v>
      </c>
    </row>
    <row r="12" spans="1:4" x14ac:dyDescent="0.25">
      <c r="A12" t="s">
        <v>82</v>
      </c>
      <c r="B12" t="s">
        <v>83</v>
      </c>
      <c r="C12" t="s">
        <v>79</v>
      </c>
      <c r="D12">
        <v>100</v>
      </c>
    </row>
    <row r="13" spans="1:4" x14ac:dyDescent="0.25">
      <c r="A13" t="s">
        <v>84</v>
      </c>
      <c r="B13" t="s">
        <v>85</v>
      </c>
      <c r="C13" t="s">
        <v>86</v>
      </c>
      <c r="D13">
        <v>60</v>
      </c>
    </row>
    <row r="14" spans="1:4" x14ac:dyDescent="0.25">
      <c r="A14" t="s">
        <v>87</v>
      </c>
      <c r="B14" t="s">
        <v>88</v>
      </c>
      <c r="C14" t="s">
        <v>86</v>
      </c>
      <c r="D14">
        <v>60</v>
      </c>
    </row>
    <row r="15" spans="1:4" x14ac:dyDescent="0.25">
      <c r="A15" t="s">
        <v>89</v>
      </c>
      <c r="B15" t="s">
        <v>90</v>
      </c>
      <c r="C15" t="s">
        <v>86</v>
      </c>
      <c r="D15">
        <v>80</v>
      </c>
    </row>
    <row r="16" spans="1:4" x14ac:dyDescent="0.25">
      <c r="A16" t="s">
        <v>91</v>
      </c>
      <c r="B16" t="s">
        <v>92</v>
      </c>
      <c r="C16" t="s">
        <v>86</v>
      </c>
      <c r="D16">
        <v>40</v>
      </c>
    </row>
    <row r="17" spans="1:4" x14ac:dyDescent="0.25">
      <c r="A17" t="s">
        <v>93</v>
      </c>
      <c r="B17" t="s">
        <v>94</v>
      </c>
      <c r="C17" t="s">
        <v>95</v>
      </c>
      <c r="D17">
        <v>300</v>
      </c>
    </row>
    <row r="18" spans="1:4" x14ac:dyDescent="0.25">
      <c r="A18" t="s">
        <v>96</v>
      </c>
      <c r="B18" t="s">
        <v>97</v>
      </c>
      <c r="C18" t="s">
        <v>95</v>
      </c>
      <c r="D18">
        <v>280</v>
      </c>
    </row>
    <row r="19" spans="1:4" x14ac:dyDescent="0.25">
      <c r="A19" t="s">
        <v>98</v>
      </c>
      <c r="B19" t="s">
        <v>99</v>
      </c>
      <c r="C19" t="s">
        <v>95</v>
      </c>
      <c r="D19">
        <v>120</v>
      </c>
    </row>
    <row r="20" spans="1:4" x14ac:dyDescent="0.25">
      <c r="A20" t="s">
        <v>100</v>
      </c>
      <c r="B20" t="s">
        <v>101</v>
      </c>
      <c r="C20" t="s">
        <v>72</v>
      </c>
      <c r="D20">
        <v>150</v>
      </c>
    </row>
    <row r="21" spans="1:4" x14ac:dyDescent="0.25">
      <c r="A21" t="s">
        <v>102</v>
      </c>
      <c r="B21" t="s">
        <v>103</v>
      </c>
      <c r="C21" t="s">
        <v>67</v>
      </c>
      <c r="D21">
        <v>260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9CB7A-4432-4872-B033-1347085DBCC5}">
  <sheetPr codeName="Sheet7"/>
  <dimension ref="A1:I43"/>
  <sheetViews>
    <sheetView topLeftCell="A17" zoomScale="54" zoomScaleNormal="54" workbookViewId="0">
      <selection activeCell="E42" sqref="E42"/>
    </sheetView>
  </sheetViews>
  <sheetFormatPr defaultRowHeight="15" x14ac:dyDescent="0.25"/>
  <cols>
    <col min="1" max="1" width="23.140625" bestFit="1" customWidth="1"/>
    <col min="2" max="2" width="24.7109375" bestFit="1" customWidth="1"/>
    <col min="3" max="3" width="25.5703125" customWidth="1"/>
    <col min="4" max="4" width="15.7109375" bestFit="1" customWidth="1"/>
    <col min="5" max="5" width="26.85546875" bestFit="1" customWidth="1"/>
    <col min="7" max="7" width="23.140625" bestFit="1" customWidth="1"/>
    <col min="8" max="8" width="16.5703125" bestFit="1" customWidth="1"/>
    <col min="9" max="9" width="28.7109375" bestFit="1" customWidth="1"/>
    <col min="10" max="10" width="16.5703125" bestFit="1" customWidth="1"/>
    <col min="11" max="11" width="26.85546875" bestFit="1" customWidth="1"/>
    <col min="13" max="13" width="16.5703125" bestFit="1" customWidth="1"/>
    <col min="14" max="14" width="28.7109375" bestFit="1" customWidth="1"/>
    <col min="16" max="16" width="24.28515625" bestFit="1" customWidth="1"/>
    <col min="17" max="17" width="20.28515625" bestFit="1" customWidth="1"/>
  </cols>
  <sheetData>
    <row r="1" spans="1:9" x14ac:dyDescent="0.25">
      <c r="A1" s="3" t="s">
        <v>395</v>
      </c>
      <c r="B1" t="s">
        <v>396</v>
      </c>
      <c r="H1" s="3" t="s">
        <v>404</v>
      </c>
      <c r="I1" t="s">
        <v>394</v>
      </c>
    </row>
    <row r="2" spans="1:9" x14ac:dyDescent="0.25">
      <c r="A2" s="4" t="s">
        <v>10</v>
      </c>
      <c r="B2" s="6">
        <v>18400</v>
      </c>
      <c r="H2" s="4" t="s">
        <v>113</v>
      </c>
      <c r="I2" s="6">
        <v>28810</v>
      </c>
    </row>
    <row r="3" spans="1:9" x14ac:dyDescent="0.25">
      <c r="A3" s="4" t="s">
        <v>4</v>
      </c>
      <c r="B3" s="6">
        <v>18350</v>
      </c>
      <c r="H3" s="4" t="s">
        <v>110</v>
      </c>
      <c r="I3" s="6">
        <v>30950</v>
      </c>
    </row>
    <row r="4" spans="1:9" x14ac:dyDescent="0.25">
      <c r="A4" s="4" t="s">
        <v>13</v>
      </c>
      <c r="B4" s="6">
        <v>17050</v>
      </c>
      <c r="H4" s="4" t="s">
        <v>112</v>
      </c>
      <c r="I4" s="6">
        <v>30690</v>
      </c>
    </row>
    <row r="5" spans="1:9" x14ac:dyDescent="0.25">
      <c r="A5" s="4" t="s">
        <v>7</v>
      </c>
      <c r="B5" s="6">
        <v>19500</v>
      </c>
      <c r="H5" s="4" t="s">
        <v>393</v>
      </c>
      <c r="I5" s="6">
        <v>90450</v>
      </c>
    </row>
    <row r="6" spans="1:9" x14ac:dyDescent="0.25">
      <c r="A6" s="4" t="s">
        <v>16</v>
      </c>
      <c r="B6" s="6">
        <v>17150</v>
      </c>
    </row>
    <row r="7" spans="1:9" x14ac:dyDescent="0.25">
      <c r="A7" s="4" t="s">
        <v>393</v>
      </c>
      <c r="B7" s="6">
        <v>90450</v>
      </c>
    </row>
    <row r="11" spans="1:9" x14ac:dyDescent="0.25">
      <c r="A11" s="3" t="s">
        <v>56</v>
      </c>
      <c r="B11" t="s">
        <v>396</v>
      </c>
      <c r="H11" s="3" t="s">
        <v>402</v>
      </c>
      <c r="I11" t="s">
        <v>403</v>
      </c>
    </row>
    <row r="12" spans="1:9" x14ac:dyDescent="0.25">
      <c r="A12" s="4" t="s">
        <v>86</v>
      </c>
      <c r="B12" s="6">
        <v>5700</v>
      </c>
      <c r="H12" s="4" t="s">
        <v>47</v>
      </c>
      <c r="I12" s="6">
        <v>13100</v>
      </c>
    </row>
    <row r="13" spans="1:9" x14ac:dyDescent="0.25">
      <c r="A13" s="4" t="s">
        <v>79</v>
      </c>
      <c r="B13" s="6">
        <v>9150</v>
      </c>
      <c r="H13" s="4" t="s">
        <v>51</v>
      </c>
      <c r="I13" s="6">
        <v>17050</v>
      </c>
    </row>
    <row r="14" spans="1:9" x14ac:dyDescent="0.25">
      <c r="A14" s="4" t="s">
        <v>67</v>
      </c>
      <c r="B14" s="6">
        <v>27300</v>
      </c>
      <c r="H14" s="4" t="s">
        <v>53</v>
      </c>
      <c r="I14" s="6">
        <v>28500</v>
      </c>
    </row>
    <row r="15" spans="1:9" x14ac:dyDescent="0.25">
      <c r="A15" s="4" t="s">
        <v>60</v>
      </c>
      <c r="B15" s="6">
        <v>25650</v>
      </c>
      <c r="H15" s="4" t="s">
        <v>49</v>
      </c>
      <c r="I15" s="6">
        <v>31800</v>
      </c>
    </row>
    <row r="16" spans="1:9" x14ac:dyDescent="0.25">
      <c r="A16" s="4" t="s">
        <v>72</v>
      </c>
      <c r="B16" s="6">
        <v>5850</v>
      </c>
      <c r="H16" s="4" t="s">
        <v>393</v>
      </c>
      <c r="I16" s="6">
        <v>90450</v>
      </c>
    </row>
    <row r="17" spans="1:9" x14ac:dyDescent="0.25">
      <c r="A17" s="4" t="s">
        <v>95</v>
      </c>
      <c r="B17" s="6">
        <v>16800</v>
      </c>
    </row>
    <row r="18" spans="1:9" x14ac:dyDescent="0.25">
      <c r="A18" s="4" t="s">
        <v>393</v>
      </c>
      <c r="B18" s="6">
        <v>90450</v>
      </c>
    </row>
    <row r="23" spans="1:9" x14ac:dyDescent="0.25">
      <c r="A23" s="3" t="s">
        <v>397</v>
      </c>
      <c r="B23" t="s">
        <v>396</v>
      </c>
      <c r="H23" s="3" t="s">
        <v>398</v>
      </c>
      <c r="I23" t="s">
        <v>396</v>
      </c>
    </row>
    <row r="24" spans="1:9" x14ac:dyDescent="0.25">
      <c r="A24" s="4" t="s">
        <v>37</v>
      </c>
      <c r="B24" s="6">
        <v>6100</v>
      </c>
      <c r="H24" s="4" t="s">
        <v>136</v>
      </c>
      <c r="I24" s="6">
        <v>84640</v>
      </c>
    </row>
    <row r="25" spans="1:9" x14ac:dyDescent="0.25">
      <c r="A25" s="4" t="s">
        <v>41</v>
      </c>
      <c r="B25" s="6">
        <v>5900</v>
      </c>
      <c r="H25" s="4" t="s">
        <v>399</v>
      </c>
      <c r="I25" s="6">
        <v>2040</v>
      </c>
    </row>
    <row r="26" spans="1:9" x14ac:dyDescent="0.25">
      <c r="A26" s="4" t="s">
        <v>26</v>
      </c>
      <c r="B26" s="6">
        <v>13400</v>
      </c>
      <c r="H26" s="4" t="s">
        <v>400</v>
      </c>
      <c r="I26" s="6">
        <v>2170</v>
      </c>
    </row>
    <row r="27" spans="1:9" x14ac:dyDescent="0.25">
      <c r="A27" s="4" t="s">
        <v>23</v>
      </c>
      <c r="B27" s="6">
        <v>5850</v>
      </c>
      <c r="H27" s="4" t="s">
        <v>401</v>
      </c>
      <c r="I27" s="6">
        <v>1600</v>
      </c>
    </row>
    <row r="28" spans="1:9" x14ac:dyDescent="0.25">
      <c r="A28" s="4" t="s">
        <v>35</v>
      </c>
      <c r="B28" s="6">
        <v>12500</v>
      </c>
      <c r="H28" s="4" t="s">
        <v>393</v>
      </c>
      <c r="I28" s="6">
        <v>90450</v>
      </c>
    </row>
    <row r="29" spans="1:9" x14ac:dyDescent="0.25">
      <c r="A29" s="4" t="s">
        <v>31</v>
      </c>
      <c r="B29" s="6">
        <v>11150</v>
      </c>
    </row>
    <row r="30" spans="1:9" x14ac:dyDescent="0.25">
      <c r="A30" s="4" t="s">
        <v>29</v>
      </c>
      <c r="B30" s="6">
        <v>7000</v>
      </c>
    </row>
    <row r="31" spans="1:9" x14ac:dyDescent="0.25">
      <c r="A31" s="4" t="s">
        <v>33</v>
      </c>
      <c r="B31" s="6">
        <v>5300</v>
      </c>
    </row>
    <row r="32" spans="1:9" x14ac:dyDescent="0.25">
      <c r="A32" s="4" t="s">
        <v>43</v>
      </c>
      <c r="B32" s="6">
        <v>11850</v>
      </c>
    </row>
    <row r="33" spans="1:4" x14ac:dyDescent="0.25">
      <c r="A33" s="4" t="s">
        <v>39</v>
      </c>
      <c r="B33" s="6">
        <v>11400</v>
      </c>
    </row>
    <row r="34" spans="1:4" x14ac:dyDescent="0.25">
      <c r="A34" s="4" t="s">
        <v>393</v>
      </c>
      <c r="B34" s="6">
        <v>90450</v>
      </c>
    </row>
    <row r="42" spans="1:4" x14ac:dyDescent="0.25">
      <c r="A42" t="s">
        <v>416</v>
      </c>
      <c r="B42" t="s">
        <v>387</v>
      </c>
      <c r="C42" t="s">
        <v>417</v>
      </c>
      <c r="D42" t="s">
        <v>415</v>
      </c>
    </row>
    <row r="43" spans="1:4" x14ac:dyDescent="0.25">
      <c r="A43" s="6">
        <v>250</v>
      </c>
      <c r="B43" s="6">
        <v>450</v>
      </c>
      <c r="C43" s="6">
        <v>100</v>
      </c>
      <c r="D43" s="5">
        <v>90450</v>
      </c>
    </row>
  </sheetData>
  <pageMargins left="0.7" right="0.7" top="0.75" bottom="0.75" header="0.3" footer="0.3"/>
  <drawing r:id="rId11"/>
  <legacyDrawing r:id="rId12"/>
  <mc:AlternateContent xmlns:mc="http://schemas.openxmlformats.org/markup-compatibility/2006">
    <mc:Choice Requires="x14">
      <controls>
        <mc:AlternateContent xmlns:mc="http://schemas.openxmlformats.org/markup-compatibility/2006">
          <mc:Choice Requires="x14">
            <control shapeId="1030" r:id="rId13" name="Button 6">
              <controlPr defaultSize="0" print="0" autoFill="0" autoPict="0" macro="[0]!Button2_Click" altText="home">
                <anchor moveWithCells="1">
                  <from>
                    <xdr:col>10</xdr:col>
                    <xdr:colOff>1390650</xdr:colOff>
                    <xdr:row>60</xdr:row>
                    <xdr:rowOff>133350</xdr:rowOff>
                  </from>
                  <to>
                    <xdr:col>13</xdr:col>
                    <xdr:colOff>1390650</xdr:colOff>
                    <xdr:row>64</xdr:row>
                    <xdr:rowOff>57150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71DEC-77E4-4F47-96D0-40D4CDB33956}">
  <sheetPr codeName="Sheet10"/>
  <dimension ref="A1"/>
  <sheetViews>
    <sheetView tabSelected="1" zoomScale="36" zoomScaleNormal="100" workbookViewId="0">
      <selection activeCell="AC22" sqref="AC22"/>
    </sheetView>
  </sheetViews>
  <sheetFormatPr defaultRowHeight="15" x14ac:dyDescent="0.2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105" r:id="rId3" name="Button 9">
              <controlPr defaultSize="0" print="0" autoFill="0" autoPict="0" macro="[0]!Button8_Click">
                <anchor moveWithCells="1" sizeWithCells="1">
                  <from>
                    <xdr:col>18</xdr:col>
                    <xdr:colOff>38100</xdr:colOff>
                    <xdr:row>70</xdr:row>
                    <xdr:rowOff>28575</xdr:rowOff>
                  </from>
                  <to>
                    <xdr:col>21</xdr:col>
                    <xdr:colOff>561975</xdr:colOff>
                    <xdr:row>73</xdr:row>
                    <xdr:rowOff>161925</xdr:rowOff>
                  </to>
                </anchor>
              </controlPr>
            </control>
          </mc:Choice>
        </mc:AlternateContent>
        <mc:AlternateContent xmlns:mc="http://schemas.openxmlformats.org/markup-compatibility/2006">
          <mc:Choice Requires="x14">
            <control shapeId="4106" r:id="rId4" name="Button 10">
              <controlPr defaultSize="0" print="0" autoFill="0" autoPict="0" macro="[0]!Button4_Click">
                <anchor moveWithCells="1" sizeWithCells="1">
                  <from>
                    <xdr:col>12</xdr:col>
                    <xdr:colOff>466725</xdr:colOff>
                    <xdr:row>70</xdr:row>
                    <xdr:rowOff>28575</xdr:rowOff>
                  </from>
                  <to>
                    <xdr:col>17</xdr:col>
                    <xdr:colOff>19050</xdr:colOff>
                    <xdr:row>74</xdr:row>
                    <xdr:rowOff>9525</xdr:rowOff>
                  </to>
                </anchor>
              </controlPr>
            </control>
          </mc:Choice>
        </mc:AlternateContent>
        <mc:AlternateContent xmlns:mc="http://schemas.openxmlformats.org/markup-compatibility/2006">
          <mc:Choice Requires="x14">
            <control shapeId="4107" r:id="rId5" name="Button 11">
              <controlPr defaultSize="0" print="0" autoFill="0" autoPict="0" macro="[0]!Button3_Click">
                <anchor moveWithCells="1">
                  <from>
                    <xdr:col>7</xdr:col>
                    <xdr:colOff>561975</xdr:colOff>
                    <xdr:row>70</xdr:row>
                    <xdr:rowOff>28575</xdr:rowOff>
                  </from>
                  <to>
                    <xdr:col>11</xdr:col>
                    <xdr:colOff>485775</xdr:colOff>
                    <xdr:row>73</xdr:row>
                    <xdr:rowOff>171450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D32568E7-E634-45F7-BB82-5699FD633195}">
  <ds:schemaRefs/>
</ds:datastoreItem>
</file>

<file path=customXml/itemProps2.xml><?xml version="1.0" encoding="utf-8"?>
<ds:datastoreItem xmlns:ds="http://schemas.openxmlformats.org/officeDocument/2006/customXml" ds:itemID="{5A35C242-3095-4D5F-A101-2FF1A022DFC1}">
  <ds:schemaRefs/>
</ds:datastoreItem>
</file>

<file path=customXml/itemProps3.xml><?xml version="1.0" encoding="utf-8"?>
<ds:datastoreItem xmlns:ds="http://schemas.openxmlformats.org/officeDocument/2006/customXml" ds:itemID="{B4732193-CABB-4C16-BE65-2374645356E7}">
  <ds:schemaRefs/>
</ds:datastoreItem>
</file>

<file path=customXml/itemProps4.xml><?xml version="1.0" encoding="utf-8"?>
<ds:datastoreItem xmlns:ds="http://schemas.openxmlformats.org/officeDocument/2006/customXml" ds:itemID="{C646DD04-6C10-4C2D-850B-66F5A3111996}">
  <ds:schemaRefs/>
</ds:datastoreItem>
</file>

<file path=customXml/itemProps5.xml><?xml version="1.0" encoding="utf-8"?>
<ds:datastoreItem xmlns:ds="http://schemas.openxmlformats.org/officeDocument/2006/customXml" ds:itemID="{1CE6E19A-1431-4D31-AF88-380EB0AA9FA8}">
  <ds:schemaRefs/>
</ds:datastoreItem>
</file>

<file path=customXml/itemProps6.xml><?xml version="1.0" encoding="utf-8"?>
<ds:datastoreItem xmlns:ds="http://schemas.openxmlformats.org/officeDocument/2006/customXml" ds:itemID="{E39D737D-4097-4D05-B010-B6560D55006B}">
  <ds:schemaRefs/>
</ds:datastoreItem>
</file>

<file path=customXml/itemProps7.xml><?xml version="1.0" encoding="utf-8"?>
<ds:datastoreItem xmlns:ds="http://schemas.openxmlformats.org/officeDocument/2006/customXml" ds:itemID="{8A585CE9-9F29-4E25-9081-EAE626642613}">
  <ds:schemaRefs/>
</ds:datastoreItem>
</file>

<file path=customXml/itemProps8.xml><?xml version="1.0" encoding="utf-8"?>
<ds:datastoreItem xmlns:ds="http://schemas.openxmlformats.org/officeDocument/2006/customXml" ds:itemID="{CC32DED2-A164-4E12-8113-468F2C8C5F41}">
  <ds:schemaRefs/>
</ds:datastoreItem>
</file>

<file path=customXml/itemProps9.xml><?xml version="1.0" encoding="utf-8"?>
<ds:datastoreItem xmlns:ds="http://schemas.openxmlformats.org/officeDocument/2006/customXml" ds:itemID="{11707CFE-F661-49F6-8616-02A9184F0339}">
  <ds:schemaRefs/>
</ds:datastoreItem>
</file>

<file path=customXml/itemProps10.xml><?xml version="1.0" encoding="utf-8"?>
<ds:datastoreItem xmlns:ds="http://schemas.openxmlformats.org/officeDocument/2006/customXml" ds:itemID="{DC5DC82C-C0A5-48D5-9469-986429AC5AE9}">
  <ds:schemaRefs/>
</ds:datastoreItem>
</file>

<file path=customXml/itemProps11.xml><?xml version="1.0" encoding="utf-8"?>
<ds:datastoreItem xmlns:ds="http://schemas.openxmlformats.org/officeDocument/2006/customXml" ds:itemID="{ACFDEB8E-F4BB-43CA-A9DC-A18587B85664}">
  <ds:schemaRefs/>
</ds:datastoreItem>
</file>

<file path=customXml/itemProps12.xml><?xml version="1.0" encoding="utf-8"?>
<ds:datastoreItem xmlns:ds="http://schemas.openxmlformats.org/officeDocument/2006/customXml" ds:itemID="{CB2DB994-79F8-459F-BFC6-D422DAF780A6}">
  <ds:schemaRefs/>
</ds:datastoreItem>
</file>

<file path=customXml/itemProps13.xml><?xml version="1.0" encoding="utf-8"?>
<ds:datastoreItem xmlns:ds="http://schemas.openxmlformats.org/officeDocument/2006/customXml" ds:itemID="{9572E5F4-7D65-4DE6-92A2-F5DC808261BF}">
  <ds:schemaRefs/>
</ds:datastoreItem>
</file>

<file path=customXml/itemProps14.xml><?xml version="1.0" encoding="utf-8"?>
<ds:datastoreItem xmlns:ds="http://schemas.openxmlformats.org/officeDocument/2006/customXml" ds:itemID="{BA17CDD0-578B-44BD-90B1-26B5D7FFDD63}">
  <ds:schemaRefs/>
</ds:datastoreItem>
</file>

<file path=customXml/itemProps15.xml><?xml version="1.0" encoding="utf-8"?>
<ds:datastoreItem xmlns:ds="http://schemas.openxmlformats.org/officeDocument/2006/customXml" ds:itemID="{C876BA0A-8110-4144-AB2D-0E67EFFE65F8}">
  <ds:schemaRefs/>
</ds:datastoreItem>
</file>

<file path=customXml/itemProps16.xml><?xml version="1.0" encoding="utf-8"?>
<ds:datastoreItem xmlns:ds="http://schemas.openxmlformats.org/officeDocument/2006/customXml" ds:itemID="{CDE70FC2-335B-4A93-8EE0-E148C84510C2}">
  <ds:schemaRefs/>
</ds:datastoreItem>
</file>

<file path=customXml/itemProps17.xml><?xml version="1.0" encoding="utf-8"?>
<ds:datastoreItem xmlns:ds="http://schemas.openxmlformats.org/officeDocument/2006/customXml" ds:itemID="{7B38E4EE-34F8-4E64-BA9B-610C16B7DA43}">
  <ds:schemaRefs/>
</ds:datastoreItem>
</file>

<file path=customXml/itemProps18.xml><?xml version="1.0" encoding="utf-8"?>
<ds:datastoreItem xmlns:ds="http://schemas.openxmlformats.org/officeDocument/2006/customXml" ds:itemID="{EA83B320-AC00-413D-AA4F-8B941D525EA0}">
  <ds:schemaRefs/>
</ds:datastoreItem>
</file>

<file path=customXml/itemProps19.xml><?xml version="1.0" encoding="utf-8"?>
<ds:datastoreItem xmlns:ds="http://schemas.openxmlformats.org/officeDocument/2006/customXml" ds:itemID="{2DFDB161-EF8F-4986-BDA2-5321AA3E3788}">
  <ds:schemaRefs/>
</ds:datastoreItem>
</file>

<file path=customXml/itemProps20.xml><?xml version="1.0" encoding="utf-8"?>
<ds:datastoreItem xmlns:ds="http://schemas.openxmlformats.org/officeDocument/2006/customXml" ds:itemID="{331744CB-A718-4078-B0FC-647D0ABC3C13}">
  <ds:schemaRefs>
    <ds:schemaRef ds:uri="http://schemas.microsoft.com/DataMashup"/>
  </ds:schemaRefs>
</ds:datastoreItem>
</file>

<file path=customXml/itemProps21.xml><?xml version="1.0" encoding="utf-8"?>
<ds:datastoreItem xmlns:ds="http://schemas.openxmlformats.org/officeDocument/2006/customXml" ds:itemID="{FCD5D8D4-289D-484B-B8BA-26483DCEC7D1}">
  <ds:schemaRefs/>
</ds:datastoreItem>
</file>

<file path=customXml/itemProps22.xml><?xml version="1.0" encoding="utf-8"?>
<ds:datastoreItem xmlns:ds="http://schemas.openxmlformats.org/officeDocument/2006/customXml" ds:itemID="{1C03A96F-C8E4-4611-B83E-C81157C1070D}">
  <ds:schemaRefs/>
</ds:datastoreItem>
</file>

<file path=customXml/itemProps23.xml><?xml version="1.0" encoding="utf-8"?>
<ds:datastoreItem xmlns:ds="http://schemas.openxmlformats.org/officeDocument/2006/customXml" ds:itemID="{2C126926-C0B2-4447-A92A-1BE70C6404FF}">
  <ds:schemaRefs/>
</ds:datastoreItem>
</file>

<file path=customXml/itemProps24.xml><?xml version="1.0" encoding="utf-8"?>
<ds:datastoreItem xmlns:ds="http://schemas.openxmlformats.org/officeDocument/2006/customXml" ds:itemID="{3BF22A90-C265-4949-8F63-17D74B07B23B}">
  <ds:schemaRefs/>
</ds:datastoreItem>
</file>

<file path=customXml/itemProps25.xml><?xml version="1.0" encoding="utf-8"?>
<ds:datastoreItem xmlns:ds="http://schemas.openxmlformats.org/officeDocument/2006/customXml" ds:itemID="{7382A83C-8F60-4731-B391-AA4AE1B7CC6B}">
  <ds:schemaRefs/>
</ds:datastoreItem>
</file>

<file path=customXml/itemProps26.xml><?xml version="1.0" encoding="utf-8"?>
<ds:datastoreItem xmlns:ds="http://schemas.openxmlformats.org/officeDocument/2006/customXml" ds:itemID="{F75EE5D3-1B5D-493A-9606-489A68D99A46}">
  <ds:schemaRefs/>
</ds:datastoreItem>
</file>

<file path=customXml/itemProps27.xml><?xml version="1.0" encoding="utf-8"?>
<ds:datastoreItem xmlns:ds="http://schemas.openxmlformats.org/officeDocument/2006/customXml" ds:itemID="{5E28AC2E-B626-4A5F-904F-27E36D2D0BBF}">
  <ds:schemaRefs/>
</ds:datastoreItem>
</file>

<file path=customXml/itemProps28.xml><?xml version="1.0" encoding="utf-8"?>
<ds:datastoreItem xmlns:ds="http://schemas.openxmlformats.org/officeDocument/2006/customXml" ds:itemID="{C2714608-0497-4CB2-9F01-EDC7048193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Order_Details</vt:lpstr>
      <vt:lpstr>Branches</vt:lpstr>
      <vt:lpstr>Orders</vt:lpstr>
      <vt:lpstr>Waiters</vt:lpstr>
      <vt:lpstr>Payments</vt:lpstr>
      <vt:lpstr>Menu_Items</vt:lpstr>
      <vt:lpstr>Povite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 kumar kotra</cp:lastModifiedBy>
  <dcterms:created xsi:type="dcterms:W3CDTF">2026-06-17T06:31:33Z</dcterms:created>
  <dcterms:modified xsi:type="dcterms:W3CDTF">2026-06-30T04:36:25Z</dcterms:modified>
</cp:coreProperties>
</file>